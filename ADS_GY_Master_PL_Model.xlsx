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P&amp;L" sheetId="2" state="visible" r:id="rId4"/>
    <sheet name="TREND &amp; MARGIN ANALYSIS" sheetId="3" state="visible" r:id="rId5"/>
    <sheet name="REGIONAL (RESTATED)" sheetId="4" state="visible" r:id="rId6"/>
    <sheet name="DATA" sheetId="5" state="visible" r:id="rId7"/>
    <sheet name="LOOKUP TABLES" sheetId="6" state="visible" r:id="rId8"/>
  </sheets>
  <definedNames>
    <definedName function="false" hidden="false" localSheetId="1" name="_xlnm.Print_Area" vbProcedure="false">'MASTER P&amp;L'!$A$1:$K$39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<sst xmlns="http://schemas.openxmlformats.org/spreadsheetml/2006/main" count="1356" uniqueCount="436">
  <si>
    <t xml:space="preserve">ADS GY Equity — FY2016-FY2023 P&amp;L Summary</t>
  </si>
  <si>
    <t xml:space="preserve">SYNTHETIC teaching data — not actual company results  |  EUR mn except per-share</t>
  </si>
  <si>
    <t xml:space="preserve">Total Net Revenue FY2023</t>
  </si>
  <si>
    <t xml:space="preserve">Revenue CAGR FY16-23</t>
  </si>
  <si>
    <t xml:space="preserve">Gross Margin FY2023</t>
  </si>
  <si>
    <t xml:space="preserve">Operating Margin FY2023</t>
  </si>
  <si>
    <t xml:space="preserve">Net Income Attrib. FY2023</t>
  </si>
  <si>
    <t xml:space="preserve">Basic EPS FY2023</t>
  </si>
  <si>
    <t xml:space="preserve">See MASTER P&amp;L, TREND &amp; MARGIN ANALYSIS and REGIONAL (RESTATED) tabs for full detail and charts.</t>
  </si>
  <si>
    <t xml:space="preserve">ADS GY Equity — Master P&amp;L (EUR mn, except per-share data)</t>
  </si>
  <si>
    <t xml:space="preserve">SYNTHETIC teaching data — not actual company results. Built entirely with INDEX/MATCH lookups against the DATA sheet.</t>
  </si>
  <si>
    <t xml:space="preserve">Line Item</t>
  </si>
  <si>
    <t xml:space="preserve">Code</t>
  </si>
  <si>
    <t xml:space="preserve">Statement Group (lookup)</t>
  </si>
  <si>
    <t xml:space="preserve">Wholesale</t>
  </si>
  <si>
    <t xml:space="preserve">IS_REV_WS</t>
  </si>
  <si>
    <t xml:space="preserve">Retail</t>
  </si>
  <si>
    <t xml:space="preserve">IS_REV_RT</t>
  </si>
  <si>
    <t xml:space="preserve">Other Businesses</t>
  </si>
  <si>
    <t xml:space="preserve">IS_REV_OTH</t>
  </si>
  <si>
    <t xml:space="preserve">Total Net Revenue</t>
  </si>
  <si>
    <t xml:space="preserve">IS_REV_TOT</t>
  </si>
  <si>
    <t xml:space="preserve">Revenue Growth Y/Y</t>
  </si>
  <si>
    <t xml:space="preserve">IS_REVGR</t>
  </si>
  <si>
    <t xml:space="preserve">Cost of Goods Sold</t>
  </si>
  <si>
    <t xml:space="preserve">IS_COGS</t>
  </si>
  <si>
    <t xml:space="preserve">Gross Profit</t>
  </si>
  <si>
    <t xml:space="preserve">IS_GP</t>
  </si>
  <si>
    <t xml:space="preserve">Gross Margin %</t>
  </si>
  <si>
    <t xml:space="preserve">IS_GPM</t>
  </si>
  <si>
    <t xml:space="preserve">Royalty and Commission Income</t>
  </si>
  <si>
    <t xml:space="preserve">IS_ROY</t>
  </si>
  <si>
    <t xml:space="preserve">Other Operating Income</t>
  </si>
  <si>
    <t xml:space="preserve">IS_OOI</t>
  </si>
  <si>
    <t xml:space="preserve">Marketing and Point-of-Sale</t>
  </si>
  <si>
    <t xml:space="preserve">IS_MKT</t>
  </si>
  <si>
    <t xml:space="preserve">Distribution and Selling Expense</t>
  </si>
  <si>
    <t xml:space="preserve">IS_DIST</t>
  </si>
  <si>
    <t xml:space="preserve">General &amp; Administration</t>
  </si>
  <si>
    <t xml:space="preserve">IS_GNA</t>
  </si>
  <si>
    <t xml:space="preserve">Sundry Expenses</t>
  </si>
  <si>
    <t xml:space="preserve">IS_SUN</t>
  </si>
  <si>
    <t xml:space="preserve">Total Other Operating Exp.</t>
  </si>
  <si>
    <t xml:space="preserve">IS_OOE</t>
  </si>
  <si>
    <t xml:space="preserve">Goodwill / Intangible Impairment</t>
  </si>
  <si>
    <t xml:space="preserve">IS_IMP</t>
  </si>
  <si>
    <t xml:space="preserve">Operating Profit (EBIT)</t>
  </si>
  <si>
    <t xml:space="preserve">IS_EBIT</t>
  </si>
  <si>
    <t xml:space="preserve">Operating Margin %</t>
  </si>
  <si>
    <t xml:space="preserve">IS_OPM</t>
  </si>
  <si>
    <t xml:space="preserve">Financial Income</t>
  </si>
  <si>
    <t xml:space="preserve">IS_FININC</t>
  </si>
  <si>
    <t xml:space="preserve">Financial Expenses</t>
  </si>
  <si>
    <t xml:space="preserve">IS_FINEXP</t>
  </si>
  <si>
    <t xml:space="preserve">Income Before Taxes</t>
  </si>
  <si>
    <t xml:space="preserve">IS_EBT</t>
  </si>
  <si>
    <t xml:space="preserve">Income Tax Expense</t>
  </si>
  <si>
    <t xml:space="preserve">IS_TAX</t>
  </si>
  <si>
    <t xml:space="preserve">Effective Tax Rate %</t>
  </si>
  <si>
    <t xml:space="preserve">IS_ETR</t>
  </si>
  <si>
    <t xml:space="preserve">Net Income from Continuing Ops.</t>
  </si>
  <si>
    <t xml:space="preserve">IS_NICONT</t>
  </si>
  <si>
    <t xml:space="preserve">Net Income from Disc. Operations</t>
  </si>
  <si>
    <t xml:space="preserve">IS_NIDISC</t>
  </si>
  <si>
    <t xml:space="preserve">Net Income (Total)</t>
  </si>
  <si>
    <t xml:space="preserve">IS_NI</t>
  </si>
  <si>
    <t xml:space="preserve">Less: Minority Interest</t>
  </si>
  <si>
    <t xml:space="preserve">IS_MIN</t>
  </si>
  <si>
    <t xml:space="preserve">Net Income Attrib. to Shareholders</t>
  </si>
  <si>
    <t xml:space="preserve">IS_NISH</t>
  </si>
  <si>
    <t xml:space="preserve">Basic EPS</t>
  </si>
  <si>
    <t xml:space="preserve">IS_EPSB</t>
  </si>
  <si>
    <t xml:space="preserve">Diluted EPS</t>
  </si>
  <si>
    <t xml:space="preserve">IS_EPSD</t>
  </si>
  <si>
    <t xml:space="preserve">Wtd. Avg Shares - Basic (mn)</t>
  </si>
  <si>
    <t xml:space="preserve">IS_WASB</t>
  </si>
  <si>
    <t xml:space="preserve">Wtd. Avg Shares - Diluted (mn)</t>
  </si>
  <si>
    <t xml:space="preserve">IS_WASD</t>
  </si>
  <si>
    <t xml:space="preserve">Dividend Per Share (DPS)</t>
  </si>
  <si>
    <t xml:space="preserve">IS_DPS</t>
  </si>
  <si>
    <t xml:space="preserve">Extraordinary Items (code not in dictionary)</t>
  </si>
  <si>
    <t xml:space="preserve">IS_XORD</t>
  </si>
  <si>
    <t xml:space="preserve">Segment Reallocation (code not in dictionary)</t>
  </si>
  <si>
    <t xml:space="preserve">IS_SEGRE</t>
  </si>
  <si>
    <t xml:space="preserve">Trend &amp; Profitability Analysis (all formulas reference MASTER P&amp;L — nothing pasted)</t>
  </si>
  <si>
    <t xml:space="preserve">Metric</t>
  </si>
  <si>
    <t xml:space="preserve">YoY Growth</t>
  </si>
  <si>
    <t xml:space="preserve">Revenue Growth %</t>
  </si>
  <si>
    <t xml:space="preserve">Gross Profit Growth %</t>
  </si>
  <si>
    <t xml:space="preserve">Operating Profit Growth %</t>
  </si>
  <si>
    <t xml:space="preserve">Net Income Growth %</t>
  </si>
  <si>
    <t xml:space="preserve">FY2016-FY2023 CAGR</t>
  </si>
  <si>
    <t xml:space="preserve">Revenue CAGR</t>
  </si>
  <si>
    <t xml:space="preserve">Net Income CAGR</t>
  </si>
  <si>
    <t xml:space="preserve">Indexed Series (FY2016 = 100)</t>
  </si>
  <si>
    <t xml:space="preserve">Revenue (Index)</t>
  </si>
  <si>
    <t xml:space="preserve">Gross Profit (Index)</t>
  </si>
  <si>
    <t xml:space="preserve">Total Opex (Index)</t>
  </si>
  <si>
    <t xml:space="preserve">Margin Trio</t>
  </si>
  <si>
    <t xml:space="preserve">Net Margin %</t>
  </si>
  <si>
    <t xml:space="preserve">Operating Expenses as % of Net Sales</t>
  </si>
  <si>
    <t xml:space="preserve">Marketing &amp; POS % Sales</t>
  </si>
  <si>
    <t xml:space="preserve">Distribution &amp; Selling % Sales</t>
  </si>
  <si>
    <t xml:space="preserve">G&amp;A % Sales</t>
  </si>
  <si>
    <t xml:space="preserve">Sundry % Sales</t>
  </si>
  <si>
    <t xml:space="preserve">Regional Revenue — Comparable Basis (EUR mn), mapped via LOOKUP TABLES Table 2</t>
  </si>
  <si>
    <t xml:space="preserve">SOURCE: as reported (two regimes)</t>
  </si>
  <si>
    <t xml:space="preserve">Reported Region</t>
  </si>
  <si>
    <t xml:space="preserve">Western Europe</t>
  </si>
  <si>
    <t xml:space="preserve">North America (pre)</t>
  </si>
  <si>
    <t xml:space="preserve">Greater China (pre)</t>
  </si>
  <si>
    <t xml:space="preserve">Russia/CIS</t>
  </si>
  <si>
    <t xml:space="preserve">Latin America (pre)</t>
  </si>
  <si>
    <t xml:space="preserve">Other Asian Markets</t>
  </si>
  <si>
    <t xml:space="preserve">Emerging Markets</t>
  </si>
  <si>
    <t xml:space="preserve">Other Businesses (pre)</t>
  </si>
  <si>
    <t xml:space="preserve">EMEA</t>
  </si>
  <si>
    <t xml:space="preserve">North America (post)</t>
  </si>
  <si>
    <t xml:space="preserve">Greater China (post)</t>
  </si>
  <si>
    <t xml:space="preserve">Asia-Pacific</t>
  </si>
  <si>
    <t xml:space="preserve">Latin America (post)</t>
  </si>
  <si>
    <t xml:space="preserve">Other Businesses (post)</t>
  </si>
  <si>
    <t xml:space="preserve">COMPARABLE VIEW: Reporting Cluster (mapped, all 8 years)</t>
  </si>
  <si>
    <t xml:space="preserve">Reporting Cluster</t>
  </si>
  <si>
    <t xml:space="preserve">North America</t>
  </si>
  <si>
    <t xml:space="preserve">Greater China</t>
  </si>
  <si>
    <t xml:space="preserve">Latin America</t>
  </si>
  <si>
    <t xml:space="preserve">Total</t>
  </si>
  <si>
    <t xml:space="preserve">Note: pre-FY2020 and post-FY2020 region names differ (Bloomberg restated segmentation FY2020). This view maps both regimes onto one set of 6 comparable clusters using the region-mapping table on LOOKUP TABLES. It supports a like-for-like 8-year regional trend; it cannot support claims about the exact pre-2020 country mix within EMEA, since Western Europe / Russia-CIS / Emerging Markets are now combined.</t>
  </si>
  <si>
    <t xml:space="preserve">code</t>
  </si>
  <si>
    <t xml:space="preserve">line_item</t>
  </si>
  <si>
    <t xml:space="preserve">fiscal_year</t>
  </si>
  <si>
    <t xml:space="preserve">value</t>
  </si>
  <si>
    <t xml:space="preserve">statement_group</t>
  </si>
  <si>
    <t xml:space="preserve">is_subtotal</t>
  </si>
  <si>
    <t xml:space="preserve">is_percent_metric</t>
  </si>
  <si>
    <t xml:space="preserve">lookup_key</t>
  </si>
  <si>
    <t xml:space="preserve">Cost</t>
  </si>
  <si>
    <t xml:space="preserve">IS_COGS|2016</t>
  </si>
  <si>
    <t xml:space="preserve">IS_COGS|2017</t>
  </si>
  <si>
    <t xml:space="preserve">IS_COGS|2018</t>
  </si>
  <si>
    <t xml:space="preserve">IS_COGS|2019</t>
  </si>
  <si>
    <t xml:space="preserve">IS_COGS|2020</t>
  </si>
  <si>
    <t xml:space="preserve">IS_COGS|2021</t>
  </si>
  <si>
    <t xml:space="preserve">IS_COGS|2022</t>
  </si>
  <si>
    <t xml:space="preserve">IS_COGS|2023</t>
  </si>
  <si>
    <t xml:space="preserve">Operating expense</t>
  </si>
  <si>
    <t xml:space="preserve">IS_DIST|2016</t>
  </si>
  <si>
    <t xml:space="preserve">IS_DIST|2017</t>
  </si>
  <si>
    <t xml:space="preserve">IS_DIST|2018</t>
  </si>
  <si>
    <t xml:space="preserve">IS_DIST|2019</t>
  </si>
  <si>
    <t xml:space="preserve">IS_DIST|2020</t>
  </si>
  <si>
    <t xml:space="preserve">IS_DIST|2021</t>
  </si>
  <si>
    <t xml:space="preserve">IS_DIST|2022</t>
  </si>
  <si>
    <t xml:space="preserve">IS_DIST|2023</t>
  </si>
  <si>
    <t xml:space="preserve">Per share</t>
  </si>
  <si>
    <t xml:space="preserve">IS_DPS|2016</t>
  </si>
  <si>
    <t xml:space="preserve">IS_DPS|2017</t>
  </si>
  <si>
    <t xml:space="preserve">IS_DPS|2018</t>
  </si>
  <si>
    <t xml:space="preserve">IS_DPS|2019</t>
  </si>
  <si>
    <t xml:space="preserve">IS_DPS|2020</t>
  </si>
  <si>
    <t xml:space="preserve">IS_DPS|2021</t>
  </si>
  <si>
    <t xml:space="preserve">IS_DPS|2022</t>
  </si>
  <si>
    <t xml:space="preserve">IS_DPS|2023</t>
  </si>
  <si>
    <t xml:space="preserve">Subtotal</t>
  </si>
  <si>
    <t xml:space="preserve">IS_EBIT|2016</t>
  </si>
  <si>
    <t xml:space="preserve">IS_EBIT|2017</t>
  </si>
  <si>
    <t xml:space="preserve">IS_EBIT|2018</t>
  </si>
  <si>
    <t xml:space="preserve">IS_EBIT|2019</t>
  </si>
  <si>
    <t xml:space="preserve">IS_EBIT|2020</t>
  </si>
  <si>
    <t xml:space="preserve">IS_EBIT|2021</t>
  </si>
  <si>
    <t xml:space="preserve">IS_EBIT|2022</t>
  </si>
  <si>
    <t xml:space="preserve">IS_EBIT|2023</t>
  </si>
  <si>
    <t xml:space="preserve">IS_EBT|2016</t>
  </si>
  <si>
    <t xml:space="preserve">IS_EBT|2017</t>
  </si>
  <si>
    <t xml:space="preserve">IS_EBT|2018</t>
  </si>
  <si>
    <t xml:space="preserve">IS_EBT|2019</t>
  </si>
  <si>
    <t xml:space="preserve">IS_EBT|2020</t>
  </si>
  <si>
    <t xml:space="preserve">IS_EBT|2021</t>
  </si>
  <si>
    <t xml:space="preserve">IS_EBT|2022</t>
  </si>
  <si>
    <t xml:space="preserve">IS_EBT|2023</t>
  </si>
  <si>
    <t xml:space="preserve">IS_EPSB|2016</t>
  </si>
  <si>
    <t xml:space="preserve">IS_EPSB|2017</t>
  </si>
  <si>
    <t xml:space="preserve">IS_EPSB|2018</t>
  </si>
  <si>
    <t xml:space="preserve">IS_EPSB|2019</t>
  </si>
  <si>
    <t xml:space="preserve">IS_EPSB|2020</t>
  </si>
  <si>
    <t xml:space="preserve">IS_EPSB|2021</t>
  </si>
  <si>
    <t xml:space="preserve">IS_EPSB|2022</t>
  </si>
  <si>
    <t xml:space="preserve">IS_EPSB|2023</t>
  </si>
  <si>
    <t xml:space="preserve">IS_EPSD|2016</t>
  </si>
  <si>
    <t xml:space="preserve">IS_EPSD|2017</t>
  </si>
  <si>
    <t xml:space="preserve">IS_EPSD|2018</t>
  </si>
  <si>
    <t xml:space="preserve">IS_EPSD|2019</t>
  </si>
  <si>
    <t xml:space="preserve">IS_EPSD|2020</t>
  </si>
  <si>
    <t xml:space="preserve">IS_EPSD|2021</t>
  </si>
  <si>
    <t xml:space="preserve">IS_EPSD|2022</t>
  </si>
  <si>
    <t xml:space="preserve">IS_EPSD|2023</t>
  </si>
  <si>
    <t xml:space="preserve">Margin %</t>
  </si>
  <si>
    <t xml:space="preserve">IS_ETR|2016</t>
  </si>
  <si>
    <t xml:space="preserve">IS_ETR|2017</t>
  </si>
  <si>
    <t xml:space="preserve">IS_ETR|2018</t>
  </si>
  <si>
    <t xml:space="preserve">IS_ETR|2019</t>
  </si>
  <si>
    <t xml:space="preserve">IS_ETR|2020</t>
  </si>
  <si>
    <t xml:space="preserve">IS_ETR|2021</t>
  </si>
  <si>
    <t xml:space="preserve">IS_ETR|2022</t>
  </si>
  <si>
    <t xml:space="preserve">IS_ETR|2023</t>
  </si>
  <si>
    <t xml:space="preserve">Financial</t>
  </si>
  <si>
    <t xml:space="preserve">IS_FINEXP|2016</t>
  </si>
  <si>
    <t xml:space="preserve">IS_FINEXP|2017</t>
  </si>
  <si>
    <t xml:space="preserve">IS_FINEXP|2018</t>
  </si>
  <si>
    <t xml:space="preserve">IS_FINEXP|2019</t>
  </si>
  <si>
    <t xml:space="preserve">IS_FINEXP|2020</t>
  </si>
  <si>
    <t xml:space="preserve">IS_FINEXP|2021</t>
  </si>
  <si>
    <t xml:space="preserve">IS_FINEXP|2022</t>
  </si>
  <si>
    <t xml:space="preserve">IS_FINEXP|2023</t>
  </si>
  <si>
    <t xml:space="preserve">IS_FININC|2016</t>
  </si>
  <si>
    <t xml:space="preserve">IS_FININC|2017</t>
  </si>
  <si>
    <t xml:space="preserve">IS_FININC|2018</t>
  </si>
  <si>
    <t xml:space="preserve">IS_FININC|2019</t>
  </si>
  <si>
    <t xml:space="preserve">IS_FININC|2020</t>
  </si>
  <si>
    <t xml:space="preserve">IS_FININC|2021</t>
  </si>
  <si>
    <t xml:space="preserve">IS_FININC|2022</t>
  </si>
  <si>
    <t xml:space="preserve">IS_FININC|2023</t>
  </si>
  <si>
    <t xml:space="preserve">IS_GNA|2016</t>
  </si>
  <si>
    <t xml:space="preserve">IS_GNA|2017</t>
  </si>
  <si>
    <t xml:space="preserve">IS_GNA|2018</t>
  </si>
  <si>
    <t xml:space="preserve">IS_GNA|2019</t>
  </si>
  <si>
    <t xml:space="preserve">IS_GNA|2020</t>
  </si>
  <si>
    <t xml:space="preserve">IS_GNA|2021</t>
  </si>
  <si>
    <t xml:space="preserve">IS_GNA|2022</t>
  </si>
  <si>
    <t xml:space="preserve">IS_GNA|2023</t>
  </si>
  <si>
    <t xml:space="preserve">IS_GP|2016</t>
  </si>
  <si>
    <t xml:space="preserve">IS_GP|2017</t>
  </si>
  <si>
    <t xml:space="preserve">IS_GP|2018</t>
  </si>
  <si>
    <t xml:space="preserve">IS_GP|2019</t>
  </si>
  <si>
    <t xml:space="preserve">IS_GP|2020</t>
  </si>
  <si>
    <t xml:space="preserve">IS_GP|2021</t>
  </si>
  <si>
    <t xml:space="preserve">IS_GP|2022</t>
  </si>
  <si>
    <t xml:space="preserve">IS_GP|2023</t>
  </si>
  <si>
    <t xml:space="preserve">IS_GPM|2016</t>
  </si>
  <si>
    <t xml:space="preserve">IS_GPM|2017</t>
  </si>
  <si>
    <t xml:space="preserve">IS_GPM|2018</t>
  </si>
  <si>
    <t xml:space="preserve">IS_GPM|2019</t>
  </si>
  <si>
    <t xml:space="preserve">IS_GPM|2020</t>
  </si>
  <si>
    <t xml:space="preserve">IS_GPM|2021</t>
  </si>
  <si>
    <t xml:space="preserve">IS_GPM|2022</t>
  </si>
  <si>
    <t xml:space="preserve">IS_GPM|2023</t>
  </si>
  <si>
    <t xml:space="preserve">IS_IMP|2016</t>
  </si>
  <si>
    <t xml:space="preserve">IS_IMP|2017</t>
  </si>
  <si>
    <t xml:space="preserve">IS_IMP|2018</t>
  </si>
  <si>
    <t xml:space="preserve">IS_IMP|2019</t>
  </si>
  <si>
    <t xml:space="preserve">IS_IMP|2020</t>
  </si>
  <si>
    <t xml:space="preserve">IS_IMP|2021</t>
  </si>
  <si>
    <t xml:space="preserve">IS_IMP|2022</t>
  </si>
  <si>
    <t xml:space="preserve">IS_IMP|2023</t>
  </si>
  <si>
    <t xml:space="preserve">IS_MIN|2016</t>
  </si>
  <si>
    <t xml:space="preserve">IS_MIN|2017</t>
  </si>
  <si>
    <t xml:space="preserve">IS_MIN|2018</t>
  </si>
  <si>
    <t xml:space="preserve">IS_MIN|2019</t>
  </si>
  <si>
    <t xml:space="preserve">IS_MIN|2020</t>
  </si>
  <si>
    <t xml:space="preserve">IS_MIN|2021</t>
  </si>
  <si>
    <t xml:space="preserve">IS_MIN|2022</t>
  </si>
  <si>
    <t xml:space="preserve">IS_MIN|2023</t>
  </si>
  <si>
    <t xml:space="preserve">IS_MKT|2016</t>
  </si>
  <si>
    <t xml:space="preserve">IS_MKT|2017</t>
  </si>
  <si>
    <t xml:space="preserve">IS_MKT|2018</t>
  </si>
  <si>
    <t xml:space="preserve">IS_MKT|2019</t>
  </si>
  <si>
    <t xml:space="preserve">IS_MKT|2020</t>
  </si>
  <si>
    <t xml:space="preserve">IS_MKT|2021</t>
  </si>
  <si>
    <t xml:space="preserve">IS_MKT|2022</t>
  </si>
  <si>
    <t xml:space="preserve">IS_MKT|2023</t>
  </si>
  <si>
    <t xml:space="preserve">IS_NI|2016</t>
  </si>
  <si>
    <t xml:space="preserve">IS_NI|2017</t>
  </si>
  <si>
    <t xml:space="preserve">IS_NI|2018</t>
  </si>
  <si>
    <t xml:space="preserve">IS_NI|2019</t>
  </si>
  <si>
    <t xml:space="preserve">IS_NI|2020</t>
  </si>
  <si>
    <t xml:space="preserve">IS_NI|2021</t>
  </si>
  <si>
    <t xml:space="preserve">IS_NI|2022</t>
  </si>
  <si>
    <t xml:space="preserve">IS_NI|2023</t>
  </si>
  <si>
    <t xml:space="preserve">IS_NICONT|2016</t>
  </si>
  <si>
    <t xml:space="preserve">IS_NICONT|2017</t>
  </si>
  <si>
    <t xml:space="preserve">IS_NICONT|2018</t>
  </si>
  <si>
    <t xml:space="preserve">IS_NICONT|2019</t>
  </si>
  <si>
    <t xml:space="preserve">IS_NICONT|2020</t>
  </si>
  <si>
    <t xml:space="preserve">IS_NICONT|2021</t>
  </si>
  <si>
    <t xml:space="preserve">IS_NICONT|2022</t>
  </si>
  <si>
    <t xml:space="preserve">IS_NICONT|2023</t>
  </si>
  <si>
    <t xml:space="preserve">IS_NIDISC|2016</t>
  </si>
  <si>
    <t xml:space="preserve">IS_NIDISC|2017</t>
  </si>
  <si>
    <t xml:space="preserve">IS_NIDISC|2018</t>
  </si>
  <si>
    <t xml:space="preserve">IS_NIDISC|2019</t>
  </si>
  <si>
    <t xml:space="preserve">IS_NIDISC|2020</t>
  </si>
  <si>
    <t xml:space="preserve">IS_NIDISC|2021</t>
  </si>
  <si>
    <t xml:space="preserve">IS_NIDISC|2022</t>
  </si>
  <si>
    <t xml:space="preserve">IS_NIDISC|2023</t>
  </si>
  <si>
    <t xml:space="preserve">IS_NISH|2016</t>
  </si>
  <si>
    <t xml:space="preserve">IS_NISH|2017</t>
  </si>
  <si>
    <t xml:space="preserve">IS_NISH|2018</t>
  </si>
  <si>
    <t xml:space="preserve">IS_NISH|2019</t>
  </si>
  <si>
    <t xml:space="preserve">IS_NISH|2020</t>
  </si>
  <si>
    <t xml:space="preserve">IS_NISH|2021</t>
  </si>
  <si>
    <t xml:space="preserve">IS_NISH|2022</t>
  </si>
  <si>
    <t xml:space="preserve">IS_NISH|2023</t>
  </si>
  <si>
    <t xml:space="preserve">IS_OOE|2016</t>
  </si>
  <si>
    <t xml:space="preserve">IS_OOE|2017</t>
  </si>
  <si>
    <t xml:space="preserve">IS_OOE|2018</t>
  </si>
  <si>
    <t xml:space="preserve">IS_OOE|2019</t>
  </si>
  <si>
    <t xml:space="preserve">IS_OOE|2020</t>
  </si>
  <si>
    <t xml:space="preserve">IS_OOE|2021</t>
  </si>
  <si>
    <t xml:space="preserve">IS_OOE|2022</t>
  </si>
  <si>
    <t xml:space="preserve">IS_OOE|2023</t>
  </si>
  <si>
    <t xml:space="preserve">Other income</t>
  </si>
  <si>
    <t xml:space="preserve">IS_OOI|2016</t>
  </si>
  <si>
    <t xml:space="preserve">IS_OOI|2017</t>
  </si>
  <si>
    <t xml:space="preserve">IS_OOI|2018</t>
  </si>
  <si>
    <t xml:space="preserve">IS_OOI|2019</t>
  </si>
  <si>
    <t xml:space="preserve">IS_OOI|2020</t>
  </si>
  <si>
    <t xml:space="preserve">IS_OOI|2021</t>
  </si>
  <si>
    <t xml:space="preserve">IS_OOI|2022</t>
  </si>
  <si>
    <t xml:space="preserve">IS_OOI|2023</t>
  </si>
  <si>
    <t xml:space="preserve">IS_OPM|2016</t>
  </si>
  <si>
    <t xml:space="preserve">IS_OPM|2017</t>
  </si>
  <si>
    <t xml:space="preserve">IS_OPM|2018</t>
  </si>
  <si>
    <t xml:space="preserve">IS_OPM|2019</t>
  </si>
  <si>
    <t xml:space="preserve">IS_OPM|2020</t>
  </si>
  <si>
    <t xml:space="preserve">IS_OPM|2021</t>
  </si>
  <si>
    <t xml:space="preserve">IS_OPM|2022</t>
  </si>
  <si>
    <t xml:space="preserve">IS_OPM|2023</t>
  </si>
  <si>
    <t xml:space="preserve">Growth %</t>
  </si>
  <si>
    <t xml:space="preserve">IS_REVGR|2016</t>
  </si>
  <si>
    <t xml:space="preserve">IS_REVGR|2017</t>
  </si>
  <si>
    <t xml:space="preserve">IS_REVGR|2018</t>
  </si>
  <si>
    <t xml:space="preserve">IS_REVGR|2019</t>
  </si>
  <si>
    <t xml:space="preserve">IS_REVGR|2020</t>
  </si>
  <si>
    <t xml:space="preserve">IS_REVGR|2021</t>
  </si>
  <si>
    <t xml:space="preserve">IS_REVGR|2022</t>
  </si>
  <si>
    <t xml:space="preserve">IS_REVGR|2023</t>
  </si>
  <si>
    <t xml:space="preserve">Revenue</t>
  </si>
  <si>
    <t xml:space="preserve">IS_REV_OTH|2016</t>
  </si>
  <si>
    <t xml:space="preserve">IS_REV_OTH|2017</t>
  </si>
  <si>
    <t xml:space="preserve">IS_REV_OTH|2018</t>
  </si>
  <si>
    <t xml:space="preserve">IS_REV_OTH|2019</t>
  </si>
  <si>
    <t xml:space="preserve">IS_REV_OTH|2020</t>
  </si>
  <si>
    <t xml:space="preserve">IS_REV_OTH|2021</t>
  </si>
  <si>
    <t xml:space="preserve">IS_REV_OTH|2022</t>
  </si>
  <si>
    <t xml:space="preserve">IS_REV_OTH|2023</t>
  </si>
  <si>
    <t xml:space="preserve">IS_REV_RT|2016</t>
  </si>
  <si>
    <t xml:space="preserve">IS_REV_RT|2017</t>
  </si>
  <si>
    <t xml:space="preserve">IS_REV_RT|2018</t>
  </si>
  <si>
    <t xml:space="preserve">IS_REV_RT|2019</t>
  </si>
  <si>
    <t xml:space="preserve">IS_REV_RT|2020</t>
  </si>
  <si>
    <t xml:space="preserve">IS_REV_RT|2021</t>
  </si>
  <si>
    <t xml:space="preserve">IS_REV_RT|2022</t>
  </si>
  <si>
    <t xml:space="preserve">IS_REV_RT|2023</t>
  </si>
  <si>
    <t xml:space="preserve">IS_REV_TOT|2016</t>
  </si>
  <si>
    <t xml:space="preserve">IS_REV_TOT|2017</t>
  </si>
  <si>
    <t xml:space="preserve">IS_REV_TOT|2018</t>
  </si>
  <si>
    <t xml:space="preserve">IS_REV_TOT|2019</t>
  </si>
  <si>
    <t xml:space="preserve">IS_REV_TOT|2020</t>
  </si>
  <si>
    <t xml:space="preserve">IS_REV_TOT|2021</t>
  </si>
  <si>
    <t xml:space="preserve">IS_REV_TOT|2022</t>
  </si>
  <si>
    <t xml:space="preserve">IS_REV_TOT|2023</t>
  </si>
  <si>
    <t xml:space="preserve">IS_REV_WS|2016</t>
  </si>
  <si>
    <t xml:space="preserve">IS_REV_WS|2017</t>
  </si>
  <si>
    <t xml:space="preserve">IS_REV_WS|2018</t>
  </si>
  <si>
    <t xml:space="preserve">IS_REV_WS|2019</t>
  </si>
  <si>
    <t xml:space="preserve">IS_REV_WS|2020</t>
  </si>
  <si>
    <t xml:space="preserve">IS_REV_WS|2021</t>
  </si>
  <si>
    <t xml:space="preserve">IS_REV_WS|2022</t>
  </si>
  <si>
    <t xml:space="preserve">IS_REV_WS|2023</t>
  </si>
  <si>
    <t xml:space="preserve">IS_ROY|2016</t>
  </si>
  <si>
    <t xml:space="preserve">IS_ROY|2017</t>
  </si>
  <si>
    <t xml:space="preserve">IS_ROY|2018</t>
  </si>
  <si>
    <t xml:space="preserve">IS_ROY|2019</t>
  </si>
  <si>
    <t xml:space="preserve">IS_ROY|2020</t>
  </si>
  <si>
    <t xml:space="preserve">IS_ROY|2021</t>
  </si>
  <si>
    <t xml:space="preserve">IS_ROY|2022</t>
  </si>
  <si>
    <t xml:space="preserve">IS_ROY|2023</t>
  </si>
  <si>
    <t xml:space="preserve">IS_SUN|2016</t>
  </si>
  <si>
    <t xml:space="preserve">IS_SUN|2017</t>
  </si>
  <si>
    <t xml:space="preserve">IS_SUN|2018</t>
  </si>
  <si>
    <t xml:space="preserve">IS_SUN|2019</t>
  </si>
  <si>
    <t xml:space="preserve">IS_SUN|2020</t>
  </si>
  <si>
    <t xml:space="preserve">IS_SUN|2021</t>
  </si>
  <si>
    <t xml:space="preserve">IS_SUN|2022</t>
  </si>
  <si>
    <t xml:space="preserve">IS_SUN|2023</t>
  </si>
  <si>
    <t xml:space="preserve">Tax</t>
  </si>
  <si>
    <t xml:space="preserve">IS_TAX|2016</t>
  </si>
  <si>
    <t xml:space="preserve">IS_TAX|2017</t>
  </si>
  <si>
    <t xml:space="preserve">IS_TAX|2018</t>
  </si>
  <si>
    <t xml:space="preserve">IS_TAX|2019</t>
  </si>
  <si>
    <t xml:space="preserve">IS_TAX|2020</t>
  </si>
  <si>
    <t xml:space="preserve">IS_TAX|2021</t>
  </si>
  <si>
    <t xml:space="preserve">IS_TAX|2022</t>
  </si>
  <si>
    <t xml:space="preserve">IS_TAX|2023</t>
  </si>
  <si>
    <t xml:space="preserve">Wtd. Avg Shares - Basic</t>
  </si>
  <si>
    <t xml:space="preserve">Shares</t>
  </si>
  <si>
    <t xml:space="preserve">IS_WASB|2016</t>
  </si>
  <si>
    <t xml:space="preserve">IS_WASB|2017</t>
  </si>
  <si>
    <t xml:space="preserve">IS_WASB|2018</t>
  </si>
  <si>
    <t xml:space="preserve">IS_WASB|2019</t>
  </si>
  <si>
    <t xml:space="preserve">IS_WASB|2020</t>
  </si>
  <si>
    <t xml:space="preserve">IS_WASB|2021</t>
  </si>
  <si>
    <t xml:space="preserve">IS_WASB|2022</t>
  </si>
  <si>
    <t xml:space="preserve">IS_WASB|2023</t>
  </si>
  <si>
    <t xml:space="preserve">Wtd. Avg Shares - Diluted</t>
  </si>
  <si>
    <t xml:space="preserve">IS_WASD|2016</t>
  </si>
  <si>
    <t xml:space="preserve">IS_WASD|2017</t>
  </si>
  <si>
    <t xml:space="preserve">IS_WASD|2018</t>
  </si>
  <si>
    <t xml:space="preserve">IS_WASD|2019</t>
  </si>
  <si>
    <t xml:space="preserve">IS_WASD|2020</t>
  </si>
  <si>
    <t xml:space="preserve">IS_WASD|2021</t>
  </si>
  <si>
    <t xml:space="preserve">IS_WASD|2022</t>
  </si>
  <si>
    <t xml:space="preserve">IS_WASD|2023</t>
  </si>
  <si>
    <t xml:space="preserve">These figures are synthetic training data and must not be presented as actual company results.</t>
  </si>
  <si>
    <t xml:space="preserve">nan|2016</t>
  </si>
  <si>
    <t xml:space="preserve">nan|2017</t>
  </si>
  <si>
    <t xml:space="preserve">nan|2018</t>
  </si>
  <si>
    <t xml:space="preserve">nan|2019</t>
  </si>
  <si>
    <t xml:space="preserve">nan|2020</t>
  </si>
  <si>
    <t xml:space="preserve">nan|2021</t>
  </si>
  <si>
    <t xml:space="preserve">nan|2022</t>
  </si>
  <si>
    <t xml:space="preserve">nan|2023</t>
  </si>
  <si>
    <t xml:space="preserve">TABLE 1 - Line item dictionary</t>
  </si>
  <si>
    <t xml:space="preserve">Line Item Code</t>
  </si>
  <si>
    <t xml:space="preserve">Line Item Description</t>
  </si>
  <si>
    <t xml:space="preserve">Statement Group</t>
  </si>
  <si>
    <t xml:space="preserve">Sign Convention</t>
  </si>
  <si>
    <t xml:space="preserve">Positive</t>
  </si>
  <si>
    <t xml:space="preserve">Negative</t>
  </si>
  <si>
    <t xml:space="preserve">TABLE 2 - Regional segmentation mapping</t>
  </si>
  <si>
    <t xml:space="preserve">Reported Region (pre-FY2020)</t>
  </si>
  <si>
    <t xml:space="preserve">Reporting Cluster (FY2020 onward)</t>
  </si>
  <si>
    <t xml:space="preserve">Comparable?</t>
  </si>
  <si>
    <t xml:space="preserve">Mapped</t>
  </si>
  <si>
    <t xml:space="preserve">Yes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</si>
</sst>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0"/>
    <numFmt numFmtId="168" formatCode="0.00;\(0.00\);\-"/>
    <numFmt numFmtId="169" formatCode="0.0"/>
    <numFmt numFmtId="170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Net Revenue (EUR mn) with Operating Margin Overlay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'MASTER P&amp;L'!A8</c:f>
              <c:strCache>
                <c:ptCount val="1"/>
                <c:pt idx="0">
                  <c:v>Total 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P&amp;L'!$C$4:$J$4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'MASTER P&amp;L'!$B$8:$J$8</c:f>
              <c:numCache>
                <c:formatCode>#,##0;\(#,##0\);\-</c:formatCode>
                <c:ptCount val="9"/>
                <c:pt idx="1">
                  <c:v>18483</c:v>
                </c:pt>
                <c:pt idx="2">
                  <c:v>21218</c:v>
                </c:pt>
                <c:pt idx="3">
                  <c:v>21915</c:v>
                </c:pt>
                <c:pt idx="4">
                  <c:v>23640</c:v>
                </c:pt>
                <c:pt idx="5">
                  <c:v>19844</c:v>
                </c:pt>
                <c:pt idx="6">
                  <c:v>21234</c:v>
                </c:pt>
                <c:pt idx="7">
                  <c:v>22511</c:v>
                </c:pt>
                <c:pt idx="8">
                  <c:v>21427</c:v>
                </c:pt>
              </c:numCache>
            </c:numRef>
          </c:val>
        </c:ser>
        <c:gapWidth val="150"/>
        <c:overlap val="0"/>
        <c:axId val="62139316"/>
        <c:axId val="87715075"/>
      </c:barChart>
      <c:lineChart>
        <c:grouping val="standard"/>
        <c:varyColors val="0"/>
        <c:ser>
          <c:idx val="1"/>
          <c:order val="1"/>
          <c:tx>
            <c:strRef>
              <c:f>'MASTER P&amp;L'!A22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P&amp;L'!$C$4:$J$4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'MASTER P&amp;L'!$B$22:$J$22</c:f>
              <c:numCache>
                <c:formatCode>0.0%;\(0.0%\);\-</c:formatCode>
                <c:ptCount val="9"/>
                <c:pt idx="1">
                  <c:v>0.076</c:v>
                </c:pt>
                <c:pt idx="2">
                  <c:v>0.094</c:v>
                </c:pt>
                <c:pt idx="3">
                  <c:v>0.108</c:v>
                </c:pt>
                <c:pt idx="4">
                  <c:v>0.111</c:v>
                </c:pt>
                <c:pt idx="5">
                  <c:v>0.04</c:v>
                </c:pt>
                <c:pt idx="6">
                  <c:v>0.087</c:v>
                </c:pt>
                <c:pt idx="7">
                  <c:v>0.017</c:v>
                </c:pt>
                <c:pt idx="8">
                  <c:v>0.017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839974"/>
        <c:axId val="1119394"/>
      </c:lineChart>
      <c:catAx>
        <c:axId val="621393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15075"/>
        <c:crosses val="autoZero"/>
        <c:auto val="1"/>
        <c:lblAlgn val="ctr"/>
        <c:lblOffset val="100"/>
        <c:noMultiLvlLbl val="0"/>
      </c:catAx>
      <c:valAx>
        <c:axId val="877150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 mn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39316"/>
        <c:crosses val="autoZero"/>
        <c:crossBetween val="between"/>
      </c:valAx>
      <c:catAx>
        <c:axId val="7483997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9394"/>
        <c:crosses val="autoZero"/>
        <c:auto val="1"/>
        <c:lblAlgn val="ctr"/>
        <c:lblOffset val="100"/>
        <c:noMultiLvlLbl val="0"/>
      </c:catAx>
      <c:valAx>
        <c:axId val="111939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Operating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3997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Trio: Gross / Operating / Net Margin, FY2016-FY2023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 &amp; MARGIN ANALYSIS'!A23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ANALYSIS'!$B$23:$J$23</c:f>
              <c:numCache>
                <c:formatCode>0.0%;\(0.0%\);\-</c:formatCode>
                <c:ptCount val="9"/>
                <c:pt idx="1">
                  <c:v>0.486</c:v>
                </c:pt>
                <c:pt idx="2">
                  <c:v>0.504</c:v>
                </c:pt>
                <c:pt idx="3">
                  <c:v>0.516</c:v>
                </c:pt>
                <c:pt idx="4">
                  <c:v>0.52</c:v>
                </c:pt>
                <c:pt idx="5">
                  <c:v>0.497</c:v>
                </c:pt>
                <c:pt idx="6">
                  <c:v>0.505</c:v>
                </c:pt>
                <c:pt idx="7">
                  <c:v>0.473</c:v>
                </c:pt>
                <c:pt idx="8">
                  <c:v>0.475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'TREND &amp; MARGIN ANALYSIS'!A24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ANALYSIS'!$B$24:$J$24</c:f>
              <c:numCache>
                <c:formatCode>0.0%;\(0.0%\);\-</c:formatCode>
                <c:ptCount val="9"/>
                <c:pt idx="1">
                  <c:v>0.076</c:v>
                </c:pt>
                <c:pt idx="2">
                  <c:v>0.094</c:v>
                </c:pt>
                <c:pt idx="3">
                  <c:v>0.108</c:v>
                </c:pt>
                <c:pt idx="4">
                  <c:v>0.111</c:v>
                </c:pt>
                <c:pt idx="5">
                  <c:v>0.04</c:v>
                </c:pt>
                <c:pt idx="6">
                  <c:v>0.087</c:v>
                </c:pt>
                <c:pt idx="7">
                  <c:v>0.017</c:v>
                </c:pt>
                <c:pt idx="8">
                  <c:v>0.017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'TREND &amp; MARGIN ANALYSIS'!A25</c:f>
              <c:strCache>
                <c:ptCount val="1"/>
                <c:pt idx="0">
                  <c:v>Net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ANALYSIS'!$B$25:$J$25</c:f>
              <c:numCache>
                <c:formatCode>0.0%;\(0.0%\);\-</c:formatCode>
                <c:ptCount val="9"/>
                <c:pt idx="1">
                  <c:v>0.0513444787101661</c:v>
                </c:pt>
                <c:pt idx="2">
                  <c:v>0.0647092091620322</c:v>
                </c:pt>
                <c:pt idx="3">
                  <c:v>0.0771161305042209</c:v>
                </c:pt>
                <c:pt idx="4">
                  <c:v>0.0784686971235195</c:v>
                </c:pt>
                <c:pt idx="5">
                  <c:v>0.0174863938722032</c:v>
                </c:pt>
                <c:pt idx="6">
                  <c:v>0.0681454271451446</c:v>
                </c:pt>
                <c:pt idx="7">
                  <c:v>0.00222113633334814</c:v>
                </c:pt>
                <c:pt idx="8">
                  <c:v>-0.00154011294161572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861993"/>
        <c:axId val="20579925"/>
      </c:lineChart>
      <c:catAx>
        <c:axId val="60861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79925"/>
        <c:crosses val="autoZero"/>
        <c:auto val="1"/>
        <c:lblAlgn val="ctr"/>
        <c:lblOffset val="100"/>
        <c:noMultiLvlLbl val="0"/>
      </c:catAx>
      <c:valAx>
        <c:axId val="20579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Net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61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Expenses as % of Net Sales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'TREND &amp; MARGIN ANALYSIS'!A29</c:f>
              <c:strCache>
                <c:ptCount val="1"/>
                <c:pt idx="0">
                  <c:v>Marketing &amp; POS %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ANALYSIS'!$B$29:$J$29</c:f>
              <c:numCache>
                <c:formatCode>0.0%;\(0.0%\);\-</c:formatCode>
                <c:ptCount val="9"/>
                <c:pt idx="1">
                  <c:v>0.136990748255153</c:v>
                </c:pt>
                <c:pt idx="2">
                  <c:v>0.133990008483363</c:v>
                </c:pt>
                <c:pt idx="3">
                  <c:v>0.131006160164271</c:v>
                </c:pt>
                <c:pt idx="4">
                  <c:v>0.128003384094755</c:v>
                </c:pt>
                <c:pt idx="5">
                  <c:v>0.118978028623261</c:v>
                </c:pt>
                <c:pt idx="6">
                  <c:v>0.120985212395215</c:v>
                </c:pt>
                <c:pt idx="7">
                  <c:v>0.123983830127493</c:v>
                </c:pt>
                <c:pt idx="8">
                  <c:v>0.123022354972698</c:v>
                </c:pt>
              </c:numCache>
            </c:numRef>
          </c:val>
        </c:ser>
        <c:ser>
          <c:idx val="1"/>
          <c:order val="1"/>
          <c:tx>
            <c:strRef>
              <c:f>'TREND &amp; MARGIN ANALYSIS'!A30</c:f>
              <c:strCache>
                <c:ptCount val="1"/>
                <c:pt idx="0">
                  <c:v>Distribution &amp; Selling % Sales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ANALYSIS'!$B$30:$J$30</c:f>
              <c:numCache>
                <c:formatCode>0.0%;\(0.0%\);\-</c:formatCode>
                <c:ptCount val="9"/>
                <c:pt idx="1">
                  <c:v>0.217984093491316</c:v>
                </c:pt>
                <c:pt idx="2">
                  <c:v>0.221981336600999</c:v>
                </c:pt>
                <c:pt idx="3">
                  <c:v>0.224001825233858</c:v>
                </c:pt>
                <c:pt idx="4">
                  <c:v>0.223011844331641</c:v>
                </c:pt>
                <c:pt idx="5">
                  <c:v>0.27000604716791</c:v>
                </c:pt>
                <c:pt idx="6">
                  <c:v>0.234011491004992</c:v>
                </c:pt>
                <c:pt idx="7">
                  <c:v>0.242992314868287</c:v>
                </c:pt>
                <c:pt idx="8">
                  <c:v>0.257992252765203</c:v>
                </c:pt>
              </c:numCache>
            </c:numRef>
          </c:val>
        </c:ser>
        <c:ser>
          <c:idx val="2"/>
          <c:order val="2"/>
          <c:tx>
            <c:strRef>
              <c:f>'TREND &amp; MARGIN ANALYSIS'!A31</c:f>
              <c:strCache>
                <c:ptCount val="1"/>
                <c:pt idx="0">
                  <c:v>G&amp;A % Sales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ANALYSIS'!$B$31:$J$31</c:f>
              <c:numCache>
                <c:formatCode>0.0%;\(0.0%\);\-</c:formatCode>
                <c:ptCount val="9"/>
                <c:pt idx="1">
                  <c:v>0.0539955634907753</c:v>
                </c:pt>
                <c:pt idx="2">
                  <c:v>0.0530210198887737</c:v>
                </c:pt>
                <c:pt idx="3">
                  <c:v>0.0520191649555099</c:v>
                </c:pt>
                <c:pt idx="4">
                  <c:v>0.0569796954314721</c:v>
                </c:pt>
                <c:pt idx="5">
                  <c:v>0.065007055029228</c:v>
                </c:pt>
                <c:pt idx="6">
                  <c:v>0.0609870961665254</c:v>
                </c:pt>
                <c:pt idx="7">
                  <c:v>0.0780063080271867</c:v>
                </c:pt>
                <c:pt idx="8">
                  <c:v>0.0729920194147571</c:v>
                </c:pt>
              </c:numCache>
            </c:numRef>
          </c:val>
        </c:ser>
        <c:ser>
          <c:idx val="3"/>
          <c:order val="3"/>
          <c:tx>
            <c:strRef>
              <c:f>'TREND &amp; MARGIN ANALYSIS'!A32</c:f>
              <c:strCache>
                <c:ptCount val="1"/>
                <c:pt idx="0">
                  <c:v>Sundry % Sales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ANALYSIS'!$B$32:$J$32</c:f>
              <c:numCache>
                <c:formatCode>0.0%;\(0.0%\);\-</c:formatCode>
                <c:ptCount val="9"/>
                <c:pt idx="1">
                  <c:v>0.0100091976410756</c:v>
                </c:pt>
                <c:pt idx="2">
                  <c:v>0.0099915166368178</c:v>
                </c:pt>
                <c:pt idx="3">
                  <c:v>0.00999315537303217</c:v>
                </c:pt>
                <c:pt idx="4">
                  <c:v>0.00998307952622674</c:v>
                </c:pt>
                <c:pt idx="5">
                  <c:v>0.00997782705099778</c:v>
                </c:pt>
                <c:pt idx="6">
                  <c:v>0.00998398794386362</c:v>
                </c:pt>
                <c:pt idx="7">
                  <c:v>0.00999511350006663</c:v>
                </c:pt>
                <c:pt idx="8">
                  <c:v>0.0119942129089467</c:v>
                </c:pt>
              </c:numCache>
            </c:numRef>
          </c:val>
        </c:ser>
        <c:gapWidth val="150"/>
        <c:overlap val="100"/>
        <c:axId val="42396409"/>
        <c:axId val="15029534"/>
      </c:barChart>
      <c:catAx>
        <c:axId val="42396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29534"/>
        <c:crosses val="autoZero"/>
        <c:auto val="1"/>
        <c:lblAlgn val="ctr"/>
        <c:lblOffset val="100"/>
        <c:noMultiLvlLbl val="0"/>
      </c:catAx>
      <c:valAx>
        <c:axId val="15029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Net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96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Indexed Trend, FY2016 = 100: Revenue vs Gross Profit vs Total Opex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 &amp; MARGIN ANALYSIS'!A17</c:f>
              <c:strCache>
                <c:ptCount val="1"/>
                <c:pt idx="0">
                  <c:v>Revenue (Index)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ANALYSIS'!$B$17:$J$17</c:f>
              <c:numCache>
                <c:formatCode>0.0</c:formatCode>
                <c:ptCount val="9"/>
                <c:pt idx="1">
                  <c:v>100</c:v>
                </c:pt>
                <c:pt idx="2">
                  <c:v>114.797381377482</c:v>
                </c:pt>
                <c:pt idx="3">
                  <c:v>118.568414218471</c:v>
                </c:pt>
                <c:pt idx="4">
                  <c:v>127.901314721636</c:v>
                </c:pt>
                <c:pt idx="5">
                  <c:v>107.36352323757</c:v>
                </c:pt>
                <c:pt idx="6">
                  <c:v>114.883947411135</c:v>
                </c:pt>
                <c:pt idx="7">
                  <c:v>121.792998972028</c:v>
                </c:pt>
                <c:pt idx="8">
                  <c:v>115.928150192068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'TREND &amp; MARGIN ANALYSIS'!A18</c:f>
              <c:strCache>
                <c:ptCount val="1"/>
                <c:pt idx="0">
                  <c:v>Gross Profit (Index)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ANALYSIS'!$B$18:$J$18</c:f>
              <c:numCache>
                <c:formatCode>0.0</c:formatCode>
                <c:ptCount val="9"/>
                <c:pt idx="1">
                  <c:v>100</c:v>
                </c:pt>
                <c:pt idx="2">
                  <c:v>119.047088945786</c:v>
                </c:pt>
                <c:pt idx="3">
                  <c:v>125.882221974841</c:v>
                </c:pt>
                <c:pt idx="4">
                  <c:v>136.847378381387</c:v>
                </c:pt>
                <c:pt idx="5">
                  <c:v>109.785149727263</c:v>
                </c:pt>
                <c:pt idx="6">
                  <c:v>119.369920961817</c:v>
                </c:pt>
                <c:pt idx="7">
                  <c:v>118.535010575532</c:v>
                </c:pt>
                <c:pt idx="8">
                  <c:v>113.302905488144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'TREND &amp; MARGIN ANALYSIS'!A19</c:f>
              <c:strCache>
                <c:ptCount val="1"/>
                <c:pt idx="0">
                  <c:v>Total Opex (Index)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&amp; MARGIN ANALYSIS'!$C$4:$J$4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'TREND &amp; MARGIN ANALYSIS'!$B$19:$J$19</c:f>
              <c:numCache>
                <c:formatCode>0.0</c:formatCode>
                <c:ptCount val="9"/>
                <c:pt idx="1">
                  <c:v>100</c:v>
                </c:pt>
                <c:pt idx="2">
                  <c:v>114.798553719008</c:v>
                </c:pt>
                <c:pt idx="3">
                  <c:v>118.013946280992</c:v>
                </c:pt>
                <c:pt idx="4">
                  <c:v>127.59555785124</c:v>
                </c:pt>
                <c:pt idx="5">
                  <c:v>118.892045454545</c:v>
                </c:pt>
                <c:pt idx="6">
                  <c:v>116.800103305785</c:v>
                </c:pt>
                <c:pt idx="7">
                  <c:v>132.257231404959</c:v>
                </c:pt>
                <c:pt idx="8">
                  <c:v>128.938533057851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228258"/>
        <c:axId val="13167612"/>
      </c:lineChart>
      <c:catAx>
        <c:axId val="47228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67612"/>
        <c:crosses val="autoZero"/>
        <c:auto val="1"/>
        <c:lblAlgn val="ctr"/>
        <c:lblOffset val="100"/>
        <c:noMultiLvlLbl val="0"/>
      </c:catAx>
      <c:valAx>
        <c:axId val="13167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(FY2016=100)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28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Comparable Regional Revenue (EUR mn), FY2016-FY2023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(RESTATED)'!A22</c:f>
              <c:strCache>
                <c:ptCount val="1"/>
                <c:pt idx="0">
                  <c:v>EMEA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(RESTATED)'!$B$21:$I$21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'REGIONAL (RESTATED)'!$B$22:$I$22</c:f>
              <c:numCache>
                <c:formatCode>#,##0;\(#,##0\);\-</c:formatCode>
                <c:ptCount val="8"/>
                <c:pt idx="0">
                  <c:v>7393</c:v>
                </c:pt>
                <c:pt idx="1">
                  <c:v>7956</c:v>
                </c:pt>
                <c:pt idx="2">
                  <c:v>7955</c:v>
                </c:pt>
                <c:pt idx="3">
                  <c:v>8369</c:v>
                </c:pt>
                <c:pt idx="4">
                  <c:v>7005</c:v>
                </c:pt>
                <c:pt idx="5">
                  <c:v>7432</c:v>
                </c:pt>
                <c:pt idx="6">
                  <c:v>7879</c:v>
                </c:pt>
                <c:pt idx="7">
                  <c:v>7585</c:v>
                </c:pt>
              </c:numCache>
            </c:numRef>
          </c:val>
        </c:ser>
        <c:ser>
          <c:idx val="1"/>
          <c:order val="1"/>
          <c:tx>
            <c:strRef>
              <c:f>'REGIONAL (RESTATED)'!A23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(RESTATED)'!$B$21:$I$21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'REGIONAL (RESTATED)'!$B$23:$I$23</c:f>
              <c:numCache>
                <c:formatCode>#,##0;\(#,##0\);\-</c:formatCode>
                <c:ptCount val="8"/>
                <c:pt idx="0">
                  <c:v>3068</c:v>
                </c:pt>
                <c:pt idx="1">
                  <c:v>3947</c:v>
                </c:pt>
                <c:pt idx="2">
                  <c:v>4361</c:v>
                </c:pt>
                <c:pt idx="3">
                  <c:v>4917</c:v>
                </c:pt>
                <c:pt idx="4">
                  <c:v>4127</c:v>
                </c:pt>
                <c:pt idx="5">
                  <c:v>5330</c:v>
                </c:pt>
                <c:pt idx="6">
                  <c:v>5921</c:v>
                </c:pt>
                <c:pt idx="7">
                  <c:v>5142</c:v>
                </c:pt>
              </c:numCache>
            </c:numRef>
          </c:val>
        </c:ser>
        <c:ser>
          <c:idx val="2"/>
          <c:order val="2"/>
          <c:tx>
            <c:strRef>
              <c:f>'REGIONAL (RESTATED)'!A24</c:f>
              <c:strCache>
                <c:ptCount val="1"/>
                <c:pt idx="0">
                  <c:v>Greater China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(RESTATED)'!$B$21:$I$21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'REGIONAL (RESTATED)'!$B$24:$I$24</c:f>
              <c:numCache>
                <c:formatCode>#,##0;\(#,##0\);\-</c:formatCode>
                <c:ptCount val="8"/>
                <c:pt idx="0">
                  <c:v>2976</c:v>
                </c:pt>
                <c:pt idx="1">
                  <c:v>3756</c:v>
                </c:pt>
                <c:pt idx="2">
                  <c:v>4164</c:v>
                </c:pt>
                <c:pt idx="3">
                  <c:v>4728</c:v>
                </c:pt>
                <c:pt idx="4">
                  <c:v>4346</c:v>
                </c:pt>
                <c:pt idx="5">
                  <c:v>4247</c:v>
                </c:pt>
                <c:pt idx="6">
                  <c:v>3534</c:v>
                </c:pt>
                <c:pt idx="7">
                  <c:v>3257</c:v>
                </c:pt>
              </c:numCache>
            </c:numRef>
          </c:val>
        </c:ser>
        <c:ser>
          <c:idx val="3"/>
          <c:order val="3"/>
          <c:tx>
            <c:strRef>
              <c:f>'REGIONAL (RESTATED)'!A25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(RESTATED)'!$B$21:$I$21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'REGIONAL (RESTATED)'!$B$25:$I$25</c:f>
              <c:numCache>
                <c:formatCode>#,##0;\(#,##0\);\-</c:formatCode>
                <c:ptCount val="8"/>
                <c:pt idx="0">
                  <c:v>2421</c:v>
                </c:pt>
                <c:pt idx="1">
                  <c:v>2716</c:v>
                </c:pt>
                <c:pt idx="2">
                  <c:v>2761</c:v>
                </c:pt>
                <c:pt idx="3">
                  <c:v>2931</c:v>
                </c:pt>
                <c:pt idx="4">
                  <c:v>2342</c:v>
                </c:pt>
                <c:pt idx="5">
                  <c:v>2060</c:v>
                </c:pt>
                <c:pt idx="6">
                  <c:v>2656</c:v>
                </c:pt>
                <c:pt idx="7">
                  <c:v>2807</c:v>
                </c:pt>
              </c:numCache>
            </c:numRef>
          </c:val>
        </c:ser>
        <c:ser>
          <c:idx val="4"/>
          <c:order val="4"/>
          <c:tx>
            <c:strRef>
              <c:f>'REGIONAL (RESTATED)'!A26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(RESTATED)'!$B$21:$I$21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'REGIONAL (RESTATED)'!$B$26:$I$26</c:f>
              <c:numCache>
                <c:formatCode>#,##0;\(#,##0\);\-</c:formatCode>
                <c:ptCount val="8"/>
                <c:pt idx="0">
                  <c:v>1645</c:v>
                </c:pt>
                <c:pt idx="1">
                  <c:v>1740</c:v>
                </c:pt>
                <c:pt idx="2">
                  <c:v>1688</c:v>
                </c:pt>
                <c:pt idx="3">
                  <c:v>1726</c:v>
                </c:pt>
                <c:pt idx="4">
                  <c:v>1310</c:v>
                </c:pt>
                <c:pt idx="5">
                  <c:v>1507</c:v>
                </c:pt>
                <c:pt idx="6">
                  <c:v>1891</c:v>
                </c:pt>
                <c:pt idx="7">
                  <c:v>2057</c:v>
                </c:pt>
              </c:numCache>
            </c:numRef>
          </c:val>
        </c:ser>
        <c:ser>
          <c:idx val="5"/>
          <c:order val="5"/>
          <c:tx>
            <c:strRef>
              <c:f>'REGIONAL (RESTATED)'!A27</c:f>
              <c:strCache>
                <c:ptCount val="1"/>
                <c:pt idx="0">
                  <c:v>Other Businesses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(RESTATED)'!$B$21:$I$21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'REGIONAL (RESTATED)'!$B$27:$I$27</c:f>
              <c:numCache>
                <c:formatCode>#,##0;\(#,##0\);\-</c:formatCode>
                <c:ptCount val="8"/>
                <c:pt idx="0">
                  <c:v>980</c:v>
                </c:pt>
                <c:pt idx="1">
                  <c:v>1103</c:v>
                </c:pt>
                <c:pt idx="2">
                  <c:v>986</c:v>
                </c:pt>
                <c:pt idx="3">
                  <c:v>969</c:v>
                </c:pt>
                <c:pt idx="4">
                  <c:v>714</c:v>
                </c:pt>
                <c:pt idx="5">
                  <c:v>658</c:v>
                </c:pt>
                <c:pt idx="6">
                  <c:v>630</c:v>
                </c:pt>
                <c:pt idx="7">
                  <c:v>579</c:v>
                </c:pt>
              </c:numCache>
            </c:numRef>
          </c:val>
        </c:ser>
        <c:gapWidth val="150"/>
        <c:overlap val="0"/>
        <c:axId val="69975884"/>
        <c:axId val="91222476"/>
      </c:barChart>
      <c:catAx>
        <c:axId val="69975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22476"/>
        <c:crosses val="autoZero"/>
        <c:auto val="1"/>
        <c:lblAlgn val="ctr"/>
        <c:lblOffset val="100"/>
        <c:noMultiLvlLbl val="0"/>
      </c:catAx>
      <c:valAx>
        <c:axId val="91222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75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24</xdr:col>
      <xdr:colOff>581400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231200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23</xdr:col>
      <xdr:colOff>473400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1059768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160920</xdr:rowOff>
    </xdr:from>
    <xdr:to>
      <xdr:col>23</xdr:col>
      <xdr:colOff>473400</xdr:colOff>
      <xdr:row>37</xdr:row>
      <xdr:rowOff>162000</xdr:rowOff>
    </xdr:to>
    <xdr:graphicFrame>
      <xdr:nvGraphicFramePr>
        <xdr:cNvPr id="2" name="Chart 2"/>
        <xdr:cNvGraphicFramePr/>
      </xdr:nvGraphicFramePr>
      <xdr:xfrm>
        <a:off x="10597680" y="4000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38</xdr:row>
      <xdr:rowOff>160920</xdr:rowOff>
    </xdr:from>
    <xdr:to>
      <xdr:col>23</xdr:col>
      <xdr:colOff>473400</xdr:colOff>
      <xdr:row>55</xdr:row>
      <xdr:rowOff>162000</xdr:rowOff>
    </xdr:to>
    <xdr:graphicFrame>
      <xdr:nvGraphicFramePr>
        <xdr:cNvPr id="3" name="Chart 3"/>
        <xdr:cNvGraphicFramePr/>
      </xdr:nvGraphicFramePr>
      <xdr:xfrm>
        <a:off x="10597680" y="7429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160560</xdr:rowOff>
    </xdr:from>
    <xdr:to>
      <xdr:col>8</xdr:col>
      <xdr:colOff>377640</xdr:colOff>
      <xdr:row>41</xdr:row>
      <xdr:rowOff>186480</xdr:rowOff>
    </xdr:to>
    <xdr:graphicFrame>
      <xdr:nvGraphicFramePr>
        <xdr:cNvPr id="4" name="Chart 1"/>
        <xdr:cNvGraphicFramePr/>
      </xdr:nvGraphicFramePr>
      <xdr:xfrm>
        <a:off x="0" y="57150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'MASTER P&amp;L'!J8</f>
        <v>21427</v>
      </c>
    </row>
    <row r="5" customFormat="false" ht="15" hidden="false" customHeight="false" outlineLevel="0" collapsed="false">
      <c r="A5" s="3" t="s">
        <v>3</v>
      </c>
      <c r="C5" s="5" t="n">
        <f aca="false">'TREND &amp; MARGIN ANALYSIS'!C11</f>
        <v>0.0213388304335251</v>
      </c>
    </row>
    <row r="6" customFormat="false" ht="15" hidden="false" customHeight="false" outlineLevel="0" collapsed="false">
      <c r="A6" s="3" t="s">
        <v>4</v>
      </c>
      <c r="C6" s="5" t="n">
        <f aca="false">'MASTER P&amp;L'!J12</f>
        <v>0.475</v>
      </c>
    </row>
    <row r="7" customFormat="false" ht="15" hidden="false" customHeight="false" outlineLevel="0" collapsed="false">
      <c r="A7" s="3" t="s">
        <v>5</v>
      </c>
      <c r="C7" s="5" t="n">
        <f aca="false">'MASTER P&amp;L'!J22</f>
        <v>0.017</v>
      </c>
    </row>
    <row r="8" customFormat="false" ht="15" hidden="false" customHeight="false" outlineLevel="0" collapsed="false">
      <c r="A8" s="3" t="s">
        <v>6</v>
      </c>
      <c r="C8" s="4" t="n">
        <f aca="false">'MASTER P&amp;L'!J32</f>
        <v>-33</v>
      </c>
    </row>
    <row r="9" customFormat="false" ht="15" hidden="false" customHeight="false" outlineLevel="0" collapsed="false">
      <c r="A9" s="3" t="s">
        <v>7</v>
      </c>
      <c r="C9" s="6" t="n">
        <f aca="false">'MASTER P&amp;L'!J33</f>
        <v>-0.18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0" min="2" style="0" width="12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7" t="s">
        <v>9</v>
      </c>
    </row>
    <row r="2" customFormat="false" ht="15" hidden="false" customHeight="false" outlineLevel="0" collapsed="false">
      <c r="A2" s="8" t="s">
        <v>10</v>
      </c>
    </row>
    <row r="4" customFormat="false" ht="15" hidden="false" customHeight="false" outlineLevel="0" collapsed="false">
      <c r="A4" s="9" t="s">
        <v>11</v>
      </c>
      <c r="B4" s="9" t="s">
        <v>12</v>
      </c>
      <c r="C4" s="9" t="n">
        <v>2016</v>
      </c>
      <c r="D4" s="9" t="n">
        <v>2017</v>
      </c>
      <c r="E4" s="9" t="n">
        <v>2018</v>
      </c>
      <c r="F4" s="9" t="n">
        <v>2019</v>
      </c>
      <c r="G4" s="9" t="n">
        <v>2020</v>
      </c>
      <c r="H4" s="9" t="n">
        <v>2021</v>
      </c>
      <c r="I4" s="9" t="n">
        <v>2022</v>
      </c>
      <c r="J4" s="9" t="n">
        <v>2023</v>
      </c>
      <c r="K4" s="1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11" t="n">
        <f aca="false">IFERROR(INDEX(DATA!$D:$D,MATCH($B5&amp;"|"&amp;C$4,DATA!$H:$H,0)),"n/a")</f>
        <v>11663</v>
      </c>
      <c r="D5" s="11" t="n">
        <f aca="false">IFERROR(INDEX(DATA!$D:$D,MATCH($B5&amp;"|"&amp;D$4,DATA!$H:$H,0)),"n/a")</f>
        <v>12943</v>
      </c>
      <c r="E5" s="11" t="n">
        <f aca="false">IFERROR(INDEX(DATA!$D:$D,MATCH($B5&amp;"|"&amp;E$4,DATA!$H:$H,0)),"n/a")</f>
        <v>12733</v>
      </c>
      <c r="F5" s="11" t="n">
        <f aca="false">IFERROR(INDEX(DATA!$D:$D,MATCH($B5&amp;"|"&amp;F$4,DATA!$H:$H,0)),"n/a")</f>
        <v>13191</v>
      </c>
      <c r="G5" s="11" t="n">
        <f aca="false">IFERROR(INDEX(DATA!$D:$D,MATCH($B5&amp;"|"&amp;G$4,DATA!$H:$H,0)),"n/a")</f>
        <v>10160</v>
      </c>
      <c r="H5" s="11" t="n">
        <f aca="false">IFERROR(INDEX(DATA!$D:$D,MATCH($B5&amp;"|"&amp;H$4,DATA!$H:$H,0)),"n/a")</f>
        <v>11148</v>
      </c>
      <c r="I5" s="11" t="n">
        <f aca="false">IFERROR(INDEX(DATA!$D:$D,MATCH($B5&amp;"|"&amp;I$4,DATA!$H:$H,0)),"n/a")</f>
        <v>12156</v>
      </c>
      <c r="J5" s="11" t="n">
        <f aca="false">IFERROR(INDEX(DATA!$D:$D,MATCH($B5&amp;"|"&amp;J$4,DATA!$H:$H,0)),"n/a")</f>
        <v>11142</v>
      </c>
      <c r="K5" s="0" t="str">
        <f aca="false">IFERROR(INDEX('LOOKUP TABLES'!$C$3:$C$29,MATCH($B5,'LOOKUP TABLES'!$A$3:$A$29,0)),"Not in dictionary")</f>
        <v>Revenue</v>
      </c>
    </row>
    <row r="6" customFormat="false" ht="15" hidden="false" customHeight="false" outlineLevel="0" collapsed="false">
      <c r="A6" s="0" t="s">
        <v>16</v>
      </c>
      <c r="B6" s="0" t="s">
        <v>17</v>
      </c>
      <c r="C6" s="11" t="n">
        <f aca="false">IFERROR(INDEX(DATA!$D:$D,MATCH($B6&amp;"|"&amp;C$4,DATA!$H:$H,0)),"n/a")</f>
        <v>5841</v>
      </c>
      <c r="D6" s="11" t="n">
        <f aca="false">IFERROR(INDEX(DATA!$D:$D,MATCH($B6&amp;"|"&amp;D$4,DATA!$H:$H,0)),"n/a")</f>
        <v>7172</v>
      </c>
      <c r="E6" s="11" t="n">
        <f aca="false">IFERROR(INDEX(DATA!$D:$D,MATCH($B6&amp;"|"&amp;E$4,DATA!$H:$H,0)),"n/a")</f>
        <v>8196</v>
      </c>
      <c r="F6" s="11" t="n">
        <f aca="false">IFERROR(INDEX(DATA!$D:$D,MATCH($B6&amp;"|"&amp;F$4,DATA!$H:$H,0)),"n/a")</f>
        <v>9480</v>
      </c>
      <c r="G6" s="11" t="n">
        <f aca="false">IFERROR(INDEX(DATA!$D:$D,MATCH($B6&amp;"|"&amp;G$4,DATA!$H:$H,0)),"n/a")</f>
        <v>8970</v>
      </c>
      <c r="H6" s="11" t="n">
        <f aca="false">IFERROR(INDEX(DATA!$D:$D,MATCH($B6&amp;"|"&amp;H$4,DATA!$H:$H,0)),"n/a")</f>
        <v>9428</v>
      </c>
      <c r="I6" s="11" t="n">
        <f aca="false">IFERROR(INDEX(DATA!$D:$D,MATCH($B6&amp;"|"&amp;I$4,DATA!$H:$H,0)),"n/a")</f>
        <v>9725</v>
      </c>
      <c r="J6" s="11" t="n">
        <f aca="false">IFERROR(INDEX(DATA!$D:$D,MATCH($B6&amp;"|"&amp;J$4,DATA!$H:$H,0)),"n/a")</f>
        <v>9706</v>
      </c>
      <c r="K6" s="0" t="str">
        <f aca="false">IFERROR(INDEX('LOOKUP TABLES'!$C$3:$C$29,MATCH($B6,'LOOKUP TABLES'!$A$3:$A$29,0)),"Not in dictionary")</f>
        <v>Revenue</v>
      </c>
    </row>
    <row r="7" customFormat="false" ht="15" hidden="false" customHeight="false" outlineLevel="0" collapsed="false">
      <c r="A7" s="0" t="s">
        <v>18</v>
      </c>
      <c r="B7" s="0" t="s">
        <v>19</v>
      </c>
      <c r="C7" s="11" t="n">
        <f aca="false">IFERROR(INDEX(DATA!$D:$D,MATCH($B7&amp;"|"&amp;C$4,DATA!$H:$H,0)),"n/a")</f>
        <v>979</v>
      </c>
      <c r="D7" s="11" t="n">
        <f aca="false">IFERROR(INDEX(DATA!$D:$D,MATCH($B7&amp;"|"&amp;D$4,DATA!$H:$H,0)),"n/a")</f>
        <v>1103</v>
      </c>
      <c r="E7" s="11" t="n">
        <f aca="false">IFERROR(INDEX(DATA!$D:$D,MATCH($B7&amp;"|"&amp;E$4,DATA!$H:$H,0)),"n/a")</f>
        <v>986</v>
      </c>
      <c r="F7" s="11" t="n">
        <f aca="false">IFERROR(INDEX(DATA!$D:$D,MATCH($B7&amp;"|"&amp;F$4,DATA!$H:$H,0)),"n/a")</f>
        <v>969</v>
      </c>
      <c r="G7" s="11" t="n">
        <f aca="false">IFERROR(INDEX(DATA!$D:$D,MATCH($B7&amp;"|"&amp;G$4,DATA!$H:$H,0)),"n/a")</f>
        <v>714</v>
      </c>
      <c r="H7" s="11" t="n">
        <f aca="false">IFERROR(INDEX(DATA!$D:$D,MATCH($B7&amp;"|"&amp;H$4,DATA!$H:$H,0)),"n/a")</f>
        <v>658</v>
      </c>
      <c r="I7" s="11" t="n">
        <f aca="false">IFERROR(INDEX(DATA!$D:$D,MATCH($B7&amp;"|"&amp;I$4,DATA!$H:$H,0)),"n/a")</f>
        <v>630</v>
      </c>
      <c r="J7" s="11" t="n">
        <f aca="false">IFERROR(INDEX(DATA!$D:$D,MATCH($B7&amp;"|"&amp;J$4,DATA!$H:$H,0)),"n/a")</f>
        <v>579</v>
      </c>
      <c r="K7" s="0" t="str">
        <f aca="false">IFERROR(INDEX('LOOKUP TABLES'!$C$3:$C$29,MATCH($B7,'LOOKUP TABLES'!$A$3:$A$29,0)),"Not in dictionary")</f>
        <v>Revenue</v>
      </c>
    </row>
    <row r="8" customFormat="false" ht="15" hidden="false" customHeight="false" outlineLevel="0" collapsed="false">
      <c r="A8" s="12" t="s">
        <v>20</v>
      </c>
      <c r="B8" s="13" t="s">
        <v>21</v>
      </c>
      <c r="C8" s="14" t="n">
        <f aca="false">IFERROR(INDEX(DATA!$D:$D,MATCH($B8&amp;"|"&amp;C$4,DATA!$H:$H,0)),"n/a")</f>
        <v>18483</v>
      </c>
      <c r="D8" s="14" t="n">
        <f aca="false">IFERROR(INDEX(DATA!$D:$D,MATCH($B8&amp;"|"&amp;D$4,DATA!$H:$H,0)),"n/a")</f>
        <v>21218</v>
      </c>
      <c r="E8" s="14" t="n">
        <f aca="false">IFERROR(INDEX(DATA!$D:$D,MATCH($B8&amp;"|"&amp;E$4,DATA!$H:$H,0)),"n/a")</f>
        <v>21915</v>
      </c>
      <c r="F8" s="14" t="n">
        <f aca="false">IFERROR(INDEX(DATA!$D:$D,MATCH($B8&amp;"|"&amp;F$4,DATA!$H:$H,0)),"n/a")</f>
        <v>23640</v>
      </c>
      <c r="G8" s="14" t="n">
        <f aca="false">IFERROR(INDEX(DATA!$D:$D,MATCH($B8&amp;"|"&amp;G$4,DATA!$H:$H,0)),"n/a")</f>
        <v>19844</v>
      </c>
      <c r="H8" s="14" t="n">
        <f aca="false">IFERROR(INDEX(DATA!$D:$D,MATCH($B8&amp;"|"&amp;H$4,DATA!$H:$H,0)),"n/a")</f>
        <v>21234</v>
      </c>
      <c r="I8" s="14" t="n">
        <f aca="false">IFERROR(INDEX(DATA!$D:$D,MATCH($B8&amp;"|"&amp;I$4,DATA!$H:$H,0)),"n/a")</f>
        <v>22511</v>
      </c>
      <c r="J8" s="14" t="n">
        <f aca="false">IFERROR(INDEX(DATA!$D:$D,MATCH($B8&amp;"|"&amp;J$4,DATA!$H:$H,0)),"n/a")</f>
        <v>21427</v>
      </c>
      <c r="K8" s="13" t="str">
        <f aca="false">IFERROR(INDEX('LOOKUP TABLES'!$C$3:$C$29,MATCH($B8,'LOOKUP TABLES'!$A$3:$A$29,0)),"Not in dictionary")</f>
        <v>Revenue</v>
      </c>
    </row>
    <row r="9" customFormat="false" ht="15" hidden="false" customHeight="false" outlineLevel="0" collapsed="false">
      <c r="A9" s="0" t="s">
        <v>22</v>
      </c>
      <c r="B9" s="0" t="s">
        <v>23</v>
      </c>
      <c r="C9" s="15" t="n">
        <f aca="false">IFERROR(INDEX(DATA!$D:$D,MATCH($B9&amp;"|"&amp;C$4,DATA!$H:$H,0)),"n/a")</f>
        <v>0</v>
      </c>
      <c r="D9" s="15" t="n">
        <f aca="false">IFERROR(INDEX(DATA!$D:$D,MATCH($B9&amp;"|"&amp;D$4,DATA!$H:$H,0)),"n/a")</f>
        <v>0.148</v>
      </c>
      <c r="E9" s="15" t="n">
        <f aca="false">IFERROR(INDEX(DATA!$D:$D,MATCH($B9&amp;"|"&amp;E$4,DATA!$H:$H,0)),"n/a")</f>
        <v>0.033</v>
      </c>
      <c r="F9" s="15" t="n">
        <f aca="false">IFERROR(INDEX(DATA!$D:$D,MATCH($B9&amp;"|"&amp;F$4,DATA!$H:$H,0)),"n/a")</f>
        <v>0.079</v>
      </c>
      <c r="G9" s="15" t="n">
        <f aca="false">IFERROR(INDEX(DATA!$D:$D,MATCH($B9&amp;"|"&amp;G$4,DATA!$H:$H,0)),"n/a")</f>
        <v>-0.161</v>
      </c>
      <c r="H9" s="15" t="n">
        <f aca="false">IFERROR(INDEX(DATA!$D:$D,MATCH($B9&amp;"|"&amp;H$4,DATA!$H:$H,0)),"n/a")</f>
        <v>0.07</v>
      </c>
      <c r="I9" s="15" t="n">
        <f aca="false">IFERROR(INDEX(DATA!$D:$D,MATCH($B9&amp;"|"&amp;I$4,DATA!$H:$H,0)),"n/a")</f>
        <v>0.06</v>
      </c>
      <c r="J9" s="15" t="n">
        <f aca="false">IFERROR(INDEX(DATA!$D:$D,MATCH($B9&amp;"|"&amp;J$4,DATA!$H:$H,0)),"n/a")</f>
        <v>-0.048</v>
      </c>
      <c r="K9" s="0" t="str">
        <f aca="false">IFERROR(INDEX('LOOKUP TABLES'!$C$3:$C$29,MATCH($B9,'LOOKUP TABLES'!$A$3:$A$29,0)),"Not in dictionary")</f>
        <v>Not in dictionary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11" t="n">
        <f aca="false">IFERROR(INDEX(DATA!$D:$D,MATCH($B10&amp;"|"&amp;C$4,DATA!$H:$H,0)),"n/a")</f>
        <v>-9500</v>
      </c>
      <c r="D10" s="11" t="n">
        <f aca="false">IFERROR(INDEX(DATA!$D:$D,MATCH($B10&amp;"|"&amp;D$4,DATA!$H:$H,0)),"n/a")</f>
        <v>-10524</v>
      </c>
      <c r="E10" s="11" t="n">
        <f aca="false">IFERROR(INDEX(DATA!$D:$D,MATCH($B10&amp;"|"&amp;E$4,DATA!$H:$H,0)),"n/a")</f>
        <v>-10607</v>
      </c>
      <c r="F10" s="11" t="n">
        <f aca="false">IFERROR(INDEX(DATA!$D:$D,MATCH($B10&amp;"|"&amp;F$4,DATA!$H:$H,0)),"n/a")</f>
        <v>-11347</v>
      </c>
      <c r="G10" s="11" t="n">
        <f aca="false">IFERROR(INDEX(DATA!$D:$D,MATCH($B10&amp;"|"&amp;G$4,DATA!$H:$H,0)),"n/a")</f>
        <v>-9982</v>
      </c>
      <c r="H10" s="11" t="n">
        <f aca="false">IFERROR(INDEX(DATA!$D:$D,MATCH($B10&amp;"|"&amp;H$4,DATA!$H:$H,0)),"n/a")</f>
        <v>-10511</v>
      </c>
      <c r="I10" s="11" t="n">
        <f aca="false">IFERROR(INDEX(DATA!$D:$D,MATCH($B10&amp;"|"&amp;I$4,DATA!$H:$H,0)),"n/a")</f>
        <v>-11863</v>
      </c>
      <c r="J10" s="11" t="n">
        <f aca="false">IFERROR(INDEX(DATA!$D:$D,MATCH($B10&amp;"|"&amp;J$4,DATA!$H:$H,0)),"n/a")</f>
        <v>-11249</v>
      </c>
      <c r="K10" s="0" t="str">
        <f aca="false">IFERROR(INDEX('LOOKUP TABLES'!$C$3:$C$29,MATCH($B10,'LOOKUP TABLES'!$A$3:$A$29,0)),"Not in dictionary")</f>
        <v>Cost</v>
      </c>
    </row>
    <row r="11" customFormat="false" ht="15" hidden="false" customHeight="false" outlineLevel="0" collapsed="false">
      <c r="A11" s="12" t="s">
        <v>26</v>
      </c>
      <c r="B11" s="13" t="s">
        <v>27</v>
      </c>
      <c r="C11" s="14" t="n">
        <f aca="false">IFERROR(INDEX(DATA!$D:$D,MATCH($B11&amp;"|"&amp;C$4,DATA!$H:$H,0)),"n/a")</f>
        <v>8983</v>
      </c>
      <c r="D11" s="14" t="n">
        <f aca="false">IFERROR(INDEX(DATA!$D:$D,MATCH($B11&amp;"|"&amp;D$4,DATA!$H:$H,0)),"n/a")</f>
        <v>10694</v>
      </c>
      <c r="E11" s="14" t="n">
        <f aca="false">IFERROR(INDEX(DATA!$D:$D,MATCH($B11&amp;"|"&amp;E$4,DATA!$H:$H,0)),"n/a")</f>
        <v>11308</v>
      </c>
      <c r="F11" s="14" t="n">
        <f aca="false">IFERROR(INDEX(DATA!$D:$D,MATCH($B11&amp;"|"&amp;F$4,DATA!$H:$H,0)),"n/a")</f>
        <v>12293</v>
      </c>
      <c r="G11" s="14" t="n">
        <f aca="false">IFERROR(INDEX(DATA!$D:$D,MATCH($B11&amp;"|"&amp;G$4,DATA!$H:$H,0)),"n/a")</f>
        <v>9862</v>
      </c>
      <c r="H11" s="14" t="n">
        <f aca="false">IFERROR(INDEX(DATA!$D:$D,MATCH($B11&amp;"|"&amp;H$4,DATA!$H:$H,0)),"n/a")</f>
        <v>10723</v>
      </c>
      <c r="I11" s="14" t="n">
        <f aca="false">IFERROR(INDEX(DATA!$D:$D,MATCH($B11&amp;"|"&amp;I$4,DATA!$H:$H,0)),"n/a")</f>
        <v>10648</v>
      </c>
      <c r="J11" s="14" t="n">
        <f aca="false">IFERROR(INDEX(DATA!$D:$D,MATCH($B11&amp;"|"&amp;J$4,DATA!$H:$H,0)),"n/a")</f>
        <v>10178</v>
      </c>
      <c r="K11" s="13" t="str">
        <f aca="false">IFERROR(INDEX('LOOKUP TABLES'!$C$3:$C$29,MATCH($B11,'LOOKUP TABLES'!$A$3:$A$29,0)),"Not in dictionary")</f>
        <v>Subtotal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15" t="n">
        <f aca="false">IFERROR(INDEX(DATA!$D:$D,MATCH($B12&amp;"|"&amp;C$4,DATA!$H:$H,0)),"n/a")</f>
        <v>0.486</v>
      </c>
      <c r="D12" s="15" t="n">
        <f aca="false">IFERROR(INDEX(DATA!$D:$D,MATCH($B12&amp;"|"&amp;D$4,DATA!$H:$H,0)),"n/a")</f>
        <v>0.504</v>
      </c>
      <c r="E12" s="15" t="n">
        <f aca="false">IFERROR(INDEX(DATA!$D:$D,MATCH($B12&amp;"|"&amp;E$4,DATA!$H:$H,0)),"n/a")</f>
        <v>0.516</v>
      </c>
      <c r="F12" s="15" t="n">
        <f aca="false">IFERROR(INDEX(DATA!$D:$D,MATCH($B12&amp;"|"&amp;F$4,DATA!$H:$H,0)),"n/a")</f>
        <v>0.52</v>
      </c>
      <c r="G12" s="15" t="n">
        <f aca="false">IFERROR(INDEX(DATA!$D:$D,MATCH($B12&amp;"|"&amp;G$4,DATA!$H:$H,0)),"n/a")</f>
        <v>0.497</v>
      </c>
      <c r="H12" s="15" t="n">
        <f aca="false">IFERROR(INDEX(DATA!$D:$D,MATCH($B12&amp;"|"&amp;H$4,DATA!$H:$H,0)),"n/a")</f>
        <v>0.505</v>
      </c>
      <c r="I12" s="15" t="n">
        <f aca="false">IFERROR(INDEX(DATA!$D:$D,MATCH($B12&amp;"|"&amp;I$4,DATA!$H:$H,0)),"n/a")</f>
        <v>0.473</v>
      </c>
      <c r="J12" s="15" t="n">
        <f aca="false">IFERROR(INDEX(DATA!$D:$D,MATCH($B12&amp;"|"&amp;J$4,DATA!$H:$H,0)),"n/a")</f>
        <v>0.475</v>
      </c>
      <c r="K12" s="0" t="str">
        <f aca="false">IFERROR(INDEX('LOOKUP TABLES'!$C$3:$C$29,MATCH($B12,'LOOKUP TABLES'!$A$3:$A$29,0)),"Not in dictionary")</f>
        <v>Not in dictionary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11" t="n">
        <f aca="false">IFERROR(INDEX(DATA!$D:$D,MATCH($B13&amp;"|"&amp;C$4,DATA!$H:$H,0)),"n/a")</f>
        <v>108</v>
      </c>
      <c r="D13" s="11" t="n">
        <f aca="false">IFERROR(INDEX(DATA!$D:$D,MATCH($B13&amp;"|"&amp;D$4,DATA!$H:$H,0)),"n/a")</f>
        <v>115</v>
      </c>
      <c r="E13" s="11" t="n">
        <f aca="false">IFERROR(INDEX(DATA!$D:$D,MATCH($B13&amp;"|"&amp;E$4,DATA!$H:$H,0)),"n/a")</f>
        <v>121</v>
      </c>
      <c r="F13" s="11" t="n">
        <f aca="false">IFERROR(INDEX(DATA!$D:$D,MATCH($B13&amp;"|"&amp;F$4,DATA!$H:$H,0)),"n/a")</f>
        <v>130</v>
      </c>
      <c r="G13" s="11" t="n">
        <f aca="false">IFERROR(INDEX(DATA!$D:$D,MATCH($B13&amp;"|"&amp;G$4,DATA!$H:$H,0)),"n/a")</f>
        <v>96</v>
      </c>
      <c r="H13" s="11" t="n">
        <f aca="false">IFERROR(INDEX(DATA!$D:$D,MATCH($B13&amp;"|"&amp;H$4,DATA!$H:$H,0)),"n/a")</f>
        <v>104</v>
      </c>
      <c r="I13" s="11" t="n">
        <f aca="false">IFERROR(INDEX(DATA!$D:$D,MATCH($B13&amp;"|"&amp;I$4,DATA!$H:$H,0)),"n/a")</f>
        <v>112</v>
      </c>
      <c r="J13" s="11" t="n">
        <f aca="false">IFERROR(INDEX(DATA!$D:$D,MATCH($B13&amp;"|"&amp;J$4,DATA!$H:$H,0)),"n/a")</f>
        <v>107</v>
      </c>
      <c r="K13" s="0" t="str">
        <f aca="false">IFERROR(INDEX('LOOKUP TABLES'!$C$3:$C$29,MATCH($B13,'LOOKUP TABLES'!$A$3:$A$29,0)),"Not in dictionary")</f>
        <v>Other income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11" t="n">
        <f aca="false">IFERROR(INDEX(DATA!$D:$D,MATCH($B14&amp;"|"&amp;C$4,DATA!$H:$H,0)),"n/a")</f>
        <v>60</v>
      </c>
      <c r="D14" s="11" t="n">
        <f aca="false">IFERROR(INDEX(DATA!$D:$D,MATCH($B14&amp;"|"&amp;D$4,DATA!$H:$H,0)),"n/a")</f>
        <v>66</v>
      </c>
      <c r="E14" s="11" t="n">
        <f aca="false">IFERROR(INDEX(DATA!$D:$D,MATCH($B14&amp;"|"&amp;E$4,DATA!$H:$H,0)),"n/a")</f>
        <v>71</v>
      </c>
      <c r="F14" s="11" t="n">
        <f aca="false">IFERROR(INDEX(DATA!$D:$D,MATCH($B14&amp;"|"&amp;F$4,DATA!$H:$H,0)),"n/a")</f>
        <v>78</v>
      </c>
      <c r="G14" s="11" t="n">
        <f aca="false">IFERROR(INDEX(DATA!$D:$D,MATCH($B14&amp;"|"&amp;G$4,DATA!$H:$H,0)),"n/a")</f>
        <v>52</v>
      </c>
      <c r="H14" s="11" t="n">
        <f aca="false">IFERROR(INDEX(DATA!$D:$D,MATCH($B14&amp;"|"&amp;H$4,DATA!$H:$H,0)),"n/a")</f>
        <v>58</v>
      </c>
      <c r="I14" s="11" t="n">
        <f aca="false">IFERROR(INDEX(DATA!$D:$D,MATCH($B14&amp;"|"&amp;I$4,DATA!$H:$H,0)),"n/a")</f>
        <v>63</v>
      </c>
      <c r="J14" s="11" t="n">
        <f aca="false">IFERROR(INDEX(DATA!$D:$D,MATCH($B14&amp;"|"&amp;J$4,DATA!$H:$H,0)),"n/a")</f>
        <v>55</v>
      </c>
      <c r="K14" s="0" t="str">
        <f aca="false">IFERROR(INDEX('LOOKUP TABLES'!$C$3:$C$29,MATCH($B14,'LOOKUP TABLES'!$A$3:$A$29,0)),"Not in dictionary")</f>
        <v>Other income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11" t="n">
        <f aca="false">IFERROR(INDEX(DATA!$D:$D,MATCH($B15&amp;"|"&amp;C$4,DATA!$H:$H,0)),"n/a")</f>
        <v>-2532</v>
      </c>
      <c r="D15" s="11" t="n">
        <f aca="false">IFERROR(INDEX(DATA!$D:$D,MATCH($B15&amp;"|"&amp;D$4,DATA!$H:$H,0)),"n/a")</f>
        <v>-2843</v>
      </c>
      <c r="E15" s="11" t="n">
        <f aca="false">IFERROR(INDEX(DATA!$D:$D,MATCH($B15&amp;"|"&amp;E$4,DATA!$H:$H,0)),"n/a")</f>
        <v>-2871</v>
      </c>
      <c r="F15" s="11" t="n">
        <f aca="false">IFERROR(INDEX(DATA!$D:$D,MATCH($B15&amp;"|"&amp;F$4,DATA!$H:$H,0)),"n/a")</f>
        <v>-3026</v>
      </c>
      <c r="G15" s="11" t="n">
        <f aca="false">IFERROR(INDEX(DATA!$D:$D,MATCH($B15&amp;"|"&amp;G$4,DATA!$H:$H,0)),"n/a")</f>
        <v>-2361</v>
      </c>
      <c r="H15" s="11" t="n">
        <f aca="false">IFERROR(INDEX(DATA!$D:$D,MATCH($B15&amp;"|"&amp;H$4,DATA!$H:$H,0)),"n/a")</f>
        <v>-2569</v>
      </c>
      <c r="I15" s="11" t="n">
        <f aca="false">IFERROR(INDEX(DATA!$D:$D,MATCH($B15&amp;"|"&amp;I$4,DATA!$H:$H,0)),"n/a")</f>
        <v>-2791</v>
      </c>
      <c r="J15" s="11" t="n">
        <f aca="false">IFERROR(INDEX(DATA!$D:$D,MATCH($B15&amp;"|"&amp;J$4,DATA!$H:$H,0)),"n/a")</f>
        <v>-2636</v>
      </c>
      <c r="K15" s="0" t="str">
        <f aca="false">IFERROR(INDEX('LOOKUP TABLES'!$C$3:$C$29,MATCH($B15,'LOOKUP TABLES'!$A$3:$A$29,0)),"Not in dictionary")</f>
        <v>Operating expense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11" t="n">
        <f aca="false">IFERROR(INDEX(DATA!$D:$D,MATCH($B16&amp;"|"&amp;C$4,DATA!$H:$H,0)),"n/a")</f>
        <v>-4029</v>
      </c>
      <c r="D16" s="11" t="n">
        <f aca="false">IFERROR(INDEX(DATA!$D:$D,MATCH($B16&amp;"|"&amp;D$4,DATA!$H:$H,0)),"n/a")</f>
        <v>-4710</v>
      </c>
      <c r="E16" s="11" t="n">
        <f aca="false">IFERROR(INDEX(DATA!$D:$D,MATCH($B16&amp;"|"&amp;E$4,DATA!$H:$H,0)),"n/a")</f>
        <v>-4909</v>
      </c>
      <c r="F16" s="11" t="n">
        <f aca="false">IFERROR(INDEX(DATA!$D:$D,MATCH($B16&amp;"|"&amp;F$4,DATA!$H:$H,0)),"n/a")</f>
        <v>-5272</v>
      </c>
      <c r="G16" s="11" t="n">
        <f aca="false">IFERROR(INDEX(DATA!$D:$D,MATCH($B16&amp;"|"&amp;G$4,DATA!$H:$H,0)),"n/a")</f>
        <v>-5358</v>
      </c>
      <c r="H16" s="11" t="n">
        <f aca="false">IFERROR(INDEX(DATA!$D:$D,MATCH($B16&amp;"|"&amp;H$4,DATA!$H:$H,0)),"n/a")</f>
        <v>-4969</v>
      </c>
      <c r="I16" s="11" t="n">
        <f aca="false">IFERROR(INDEX(DATA!$D:$D,MATCH($B16&amp;"|"&amp;I$4,DATA!$H:$H,0)),"n/a")</f>
        <v>-5470</v>
      </c>
      <c r="J16" s="11" t="n">
        <f aca="false">IFERROR(INDEX(DATA!$D:$D,MATCH($B16&amp;"|"&amp;J$4,DATA!$H:$H,0)),"n/a")</f>
        <v>-5528</v>
      </c>
      <c r="K16" s="0" t="str">
        <f aca="false">IFERROR(INDEX('LOOKUP TABLES'!$C$3:$C$29,MATCH($B16,'LOOKUP TABLES'!$A$3:$A$29,0)),"Not in dictionary")</f>
        <v>Operating expense</v>
      </c>
    </row>
    <row r="17" customFormat="false" ht="15" hidden="false" customHeight="false" outlineLevel="0" collapsed="false">
      <c r="A17" s="0" t="s">
        <v>38</v>
      </c>
      <c r="B17" s="0" t="s">
        <v>39</v>
      </c>
      <c r="C17" s="11" t="n">
        <f aca="false">IFERROR(INDEX(DATA!$D:$D,MATCH($B17&amp;"|"&amp;C$4,DATA!$H:$H,0)),"n/a")</f>
        <v>-998</v>
      </c>
      <c r="D17" s="11" t="n">
        <f aca="false">IFERROR(INDEX(DATA!$D:$D,MATCH($B17&amp;"|"&amp;D$4,DATA!$H:$H,0)),"n/a")</f>
        <v>-1125</v>
      </c>
      <c r="E17" s="11" t="n">
        <f aca="false">IFERROR(INDEX(DATA!$D:$D,MATCH($B17&amp;"|"&amp;E$4,DATA!$H:$H,0)),"n/a")</f>
        <v>-1140</v>
      </c>
      <c r="F17" s="11" t="n">
        <f aca="false">IFERROR(INDEX(DATA!$D:$D,MATCH($B17&amp;"|"&amp;F$4,DATA!$H:$H,0)),"n/a")</f>
        <v>-1347</v>
      </c>
      <c r="G17" s="11" t="n">
        <f aca="false">IFERROR(INDEX(DATA!$D:$D,MATCH($B17&amp;"|"&amp;G$4,DATA!$H:$H,0)),"n/a")</f>
        <v>-1290</v>
      </c>
      <c r="H17" s="11" t="n">
        <f aca="false">IFERROR(INDEX(DATA!$D:$D,MATCH($B17&amp;"|"&amp;H$4,DATA!$H:$H,0)),"n/a")</f>
        <v>-1295</v>
      </c>
      <c r="I17" s="11" t="n">
        <f aca="false">IFERROR(INDEX(DATA!$D:$D,MATCH($B17&amp;"|"&amp;I$4,DATA!$H:$H,0)),"n/a")</f>
        <v>-1756</v>
      </c>
      <c r="J17" s="11" t="n">
        <f aca="false">IFERROR(INDEX(DATA!$D:$D,MATCH($B17&amp;"|"&amp;J$4,DATA!$H:$H,0)),"n/a")</f>
        <v>-1564</v>
      </c>
      <c r="K17" s="0" t="str">
        <f aca="false">IFERROR(INDEX('LOOKUP TABLES'!$C$3:$C$29,MATCH($B17,'LOOKUP TABLES'!$A$3:$A$29,0)),"Not in dictionary")</f>
        <v>Operating expense</v>
      </c>
    </row>
    <row r="18" customFormat="false" ht="15" hidden="false" customHeight="false" outlineLevel="0" collapsed="false">
      <c r="A18" s="0" t="s">
        <v>40</v>
      </c>
      <c r="B18" s="0" t="s">
        <v>41</v>
      </c>
      <c r="C18" s="11" t="n">
        <f aca="false">IFERROR(INDEX(DATA!$D:$D,MATCH($B18&amp;"|"&amp;C$4,DATA!$H:$H,0)),"n/a")</f>
        <v>-185</v>
      </c>
      <c r="D18" s="11" t="n">
        <f aca="false">IFERROR(INDEX(DATA!$D:$D,MATCH($B18&amp;"|"&amp;D$4,DATA!$H:$H,0)),"n/a")</f>
        <v>-212</v>
      </c>
      <c r="E18" s="11" t="n">
        <f aca="false">IFERROR(INDEX(DATA!$D:$D,MATCH($B18&amp;"|"&amp;E$4,DATA!$H:$H,0)),"n/a")</f>
        <v>-219</v>
      </c>
      <c r="F18" s="11" t="n">
        <f aca="false">IFERROR(INDEX(DATA!$D:$D,MATCH($B18&amp;"|"&amp;F$4,DATA!$H:$H,0)),"n/a")</f>
        <v>-236</v>
      </c>
      <c r="G18" s="11" t="n">
        <f aca="false">IFERROR(INDEX(DATA!$D:$D,MATCH($B18&amp;"|"&amp;G$4,DATA!$H:$H,0)),"n/a")</f>
        <v>-198</v>
      </c>
      <c r="H18" s="11" t="n">
        <f aca="false">IFERROR(INDEX(DATA!$D:$D,MATCH($B18&amp;"|"&amp;H$4,DATA!$H:$H,0)),"n/a")</f>
        <v>-212</v>
      </c>
      <c r="I18" s="11" t="n">
        <f aca="false">IFERROR(INDEX(DATA!$D:$D,MATCH($B18&amp;"|"&amp;I$4,DATA!$H:$H,0)),"n/a")</f>
        <v>-225</v>
      </c>
      <c r="J18" s="11" t="n">
        <f aca="false">IFERROR(INDEX(DATA!$D:$D,MATCH($B18&amp;"|"&amp;J$4,DATA!$H:$H,0)),"n/a")</f>
        <v>-257</v>
      </c>
      <c r="K18" s="0" t="str">
        <f aca="false">IFERROR(INDEX('LOOKUP TABLES'!$C$3:$C$29,MATCH($B18,'LOOKUP TABLES'!$A$3:$A$29,0)),"Not in dictionary")</f>
        <v>Operating expense</v>
      </c>
    </row>
    <row r="19" customFormat="false" ht="15" hidden="false" customHeight="false" outlineLevel="0" collapsed="false">
      <c r="A19" s="12" t="s">
        <v>42</v>
      </c>
      <c r="B19" s="13" t="s">
        <v>43</v>
      </c>
      <c r="C19" s="14" t="n">
        <f aca="false">IFERROR(INDEX(DATA!$D:$D,MATCH($B19&amp;"|"&amp;C$4,DATA!$H:$H,0)),"n/a")</f>
        <v>-7744</v>
      </c>
      <c r="D19" s="14" t="n">
        <f aca="false">IFERROR(INDEX(DATA!$D:$D,MATCH($B19&amp;"|"&amp;D$4,DATA!$H:$H,0)),"n/a")</f>
        <v>-8890</v>
      </c>
      <c r="E19" s="14" t="n">
        <f aca="false">IFERROR(INDEX(DATA!$D:$D,MATCH($B19&amp;"|"&amp;E$4,DATA!$H:$H,0)),"n/a")</f>
        <v>-9139</v>
      </c>
      <c r="F19" s="14" t="n">
        <f aca="false">IFERROR(INDEX(DATA!$D:$D,MATCH($B19&amp;"|"&amp;F$4,DATA!$H:$H,0)),"n/a")</f>
        <v>-9881</v>
      </c>
      <c r="G19" s="14" t="n">
        <f aca="false">IFERROR(INDEX(DATA!$D:$D,MATCH($B19&amp;"|"&amp;G$4,DATA!$H:$H,0)),"n/a")</f>
        <v>-9207</v>
      </c>
      <c r="H19" s="14" t="n">
        <f aca="false">IFERROR(INDEX(DATA!$D:$D,MATCH($B19&amp;"|"&amp;H$4,DATA!$H:$H,0)),"n/a")</f>
        <v>-9045</v>
      </c>
      <c r="I19" s="14" t="n">
        <f aca="false">IFERROR(INDEX(DATA!$D:$D,MATCH($B19&amp;"|"&amp;I$4,DATA!$H:$H,0)),"n/a")</f>
        <v>-10242</v>
      </c>
      <c r="J19" s="14" t="n">
        <f aca="false">IFERROR(INDEX(DATA!$D:$D,MATCH($B19&amp;"|"&amp;J$4,DATA!$H:$H,0)),"n/a")</f>
        <v>-9985</v>
      </c>
      <c r="K19" s="13" t="str">
        <f aca="false">IFERROR(INDEX('LOOKUP TABLES'!$C$3:$C$29,MATCH($B19,'LOOKUP TABLES'!$A$3:$A$29,0)),"Not in dictionary")</f>
        <v>Subtotal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11" t="n">
        <f aca="false">IFERROR(INDEX(DATA!$D:$D,MATCH($B20&amp;"|"&amp;C$4,DATA!$H:$H,0)),"n/a")</f>
        <v>0</v>
      </c>
      <c r="D20" s="11" t="n">
        <f aca="false">IFERROR(INDEX(DATA!$D:$D,MATCH($B20&amp;"|"&amp;D$4,DATA!$H:$H,0)),"n/a")</f>
        <v>0</v>
      </c>
      <c r="E20" s="11" t="n">
        <f aca="false">IFERROR(INDEX(DATA!$D:$D,MATCH($B20&amp;"|"&amp;E$4,DATA!$H:$H,0)),"n/a")</f>
        <v>0</v>
      </c>
      <c r="F20" s="11" t="n">
        <f aca="false">IFERROR(INDEX(DATA!$D:$D,MATCH($B20&amp;"|"&amp;F$4,DATA!$H:$H,0)),"n/a")</f>
        <v>0</v>
      </c>
      <c r="G20" s="11" t="n">
        <f aca="false">IFERROR(INDEX(DATA!$D:$D,MATCH($B20&amp;"|"&amp;G$4,DATA!$H:$H,0)),"n/a")</f>
        <v>0</v>
      </c>
      <c r="H20" s="11" t="n">
        <f aca="false">IFERROR(INDEX(DATA!$D:$D,MATCH($B20&amp;"|"&amp;H$4,DATA!$H:$H,0)),"n/a")</f>
        <v>0</v>
      </c>
      <c r="I20" s="11" t="n">
        <f aca="false">IFERROR(INDEX(DATA!$D:$D,MATCH($B20&amp;"|"&amp;I$4,DATA!$H:$H,0)),"n/a")</f>
        <v>-194</v>
      </c>
      <c r="J20" s="11" t="n">
        <f aca="false">IFERROR(INDEX(DATA!$D:$D,MATCH($B20&amp;"|"&amp;J$4,DATA!$H:$H,0)),"n/a")</f>
        <v>0</v>
      </c>
      <c r="K20" s="0" t="str">
        <f aca="false">IFERROR(INDEX('LOOKUP TABLES'!$C$3:$C$29,MATCH($B20,'LOOKUP TABLES'!$A$3:$A$29,0)),"Not in dictionary")</f>
        <v>Operating expense</v>
      </c>
    </row>
    <row r="21" customFormat="false" ht="15" hidden="false" customHeight="false" outlineLevel="0" collapsed="false">
      <c r="A21" s="12" t="s">
        <v>46</v>
      </c>
      <c r="B21" s="13" t="s">
        <v>47</v>
      </c>
      <c r="C21" s="14" t="n">
        <f aca="false">IFERROR(INDEX(DATA!$D:$D,MATCH($B21&amp;"|"&amp;C$4,DATA!$H:$H,0)),"n/a")</f>
        <v>1407</v>
      </c>
      <c r="D21" s="14" t="n">
        <f aca="false">IFERROR(INDEX(DATA!$D:$D,MATCH($B21&amp;"|"&amp;D$4,DATA!$H:$H,0)),"n/a")</f>
        <v>1985</v>
      </c>
      <c r="E21" s="14" t="n">
        <f aca="false">IFERROR(INDEX(DATA!$D:$D,MATCH($B21&amp;"|"&amp;E$4,DATA!$H:$H,0)),"n/a")</f>
        <v>2361</v>
      </c>
      <c r="F21" s="14" t="n">
        <f aca="false">IFERROR(INDEX(DATA!$D:$D,MATCH($B21&amp;"|"&amp;F$4,DATA!$H:$H,0)),"n/a")</f>
        <v>2620</v>
      </c>
      <c r="G21" s="14" t="n">
        <f aca="false">IFERROR(INDEX(DATA!$D:$D,MATCH($B21&amp;"|"&amp;G$4,DATA!$H:$H,0)),"n/a")</f>
        <v>803</v>
      </c>
      <c r="H21" s="14" t="n">
        <f aca="false">IFERROR(INDEX(DATA!$D:$D,MATCH($B21&amp;"|"&amp;H$4,DATA!$H:$H,0)),"n/a")</f>
        <v>1840</v>
      </c>
      <c r="I21" s="14" t="n">
        <f aca="false">IFERROR(INDEX(DATA!$D:$D,MATCH($B21&amp;"|"&amp;I$4,DATA!$H:$H,0)),"n/a")</f>
        <v>387</v>
      </c>
      <c r="J21" s="14" t="n">
        <f aca="false">IFERROR(INDEX(DATA!$D:$D,MATCH($B21&amp;"|"&amp;J$4,DATA!$H:$H,0)),"n/a")</f>
        <v>355</v>
      </c>
      <c r="K21" s="13" t="str">
        <f aca="false">IFERROR(INDEX('LOOKUP TABLES'!$C$3:$C$29,MATCH($B21,'LOOKUP TABLES'!$A$3:$A$29,0)),"Not in dictionary")</f>
        <v>Subtotal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15" t="n">
        <f aca="false">IFERROR(INDEX(DATA!$D:$D,MATCH($B22&amp;"|"&amp;C$4,DATA!$H:$H,0)),"n/a")</f>
        <v>0.076</v>
      </c>
      <c r="D22" s="15" t="n">
        <f aca="false">IFERROR(INDEX(DATA!$D:$D,MATCH($B22&amp;"|"&amp;D$4,DATA!$H:$H,0)),"n/a")</f>
        <v>0.094</v>
      </c>
      <c r="E22" s="15" t="n">
        <f aca="false">IFERROR(INDEX(DATA!$D:$D,MATCH($B22&amp;"|"&amp;E$4,DATA!$H:$H,0)),"n/a")</f>
        <v>0.108</v>
      </c>
      <c r="F22" s="15" t="n">
        <f aca="false">IFERROR(INDEX(DATA!$D:$D,MATCH($B22&amp;"|"&amp;F$4,DATA!$H:$H,0)),"n/a")</f>
        <v>0.111</v>
      </c>
      <c r="G22" s="15" t="n">
        <f aca="false">IFERROR(INDEX(DATA!$D:$D,MATCH($B22&amp;"|"&amp;G$4,DATA!$H:$H,0)),"n/a")</f>
        <v>0.04</v>
      </c>
      <c r="H22" s="15" t="n">
        <f aca="false">IFERROR(INDEX(DATA!$D:$D,MATCH($B22&amp;"|"&amp;H$4,DATA!$H:$H,0)),"n/a")</f>
        <v>0.087</v>
      </c>
      <c r="I22" s="15" t="n">
        <f aca="false">IFERROR(INDEX(DATA!$D:$D,MATCH($B22&amp;"|"&amp;I$4,DATA!$H:$H,0)),"n/a")</f>
        <v>0.017</v>
      </c>
      <c r="J22" s="15" t="n">
        <f aca="false">IFERROR(INDEX(DATA!$D:$D,MATCH($B22&amp;"|"&amp;J$4,DATA!$H:$H,0)),"n/a")</f>
        <v>0.017</v>
      </c>
      <c r="K22" s="0" t="str">
        <f aca="false">IFERROR(INDEX('LOOKUP TABLES'!$C$3:$C$29,MATCH($B22,'LOOKUP TABLES'!$A$3:$A$29,0)),"Not in dictionary")</f>
        <v>Not in dictionary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11" t="n">
        <f aca="false">IFERROR(INDEX(DATA!$D:$D,MATCH($B23&amp;"|"&amp;C$4,DATA!$H:$H,0)),"n/a")</f>
        <v>20</v>
      </c>
      <c r="D23" s="11" t="n">
        <f aca="false">IFERROR(INDEX(DATA!$D:$D,MATCH($B23&amp;"|"&amp;D$4,DATA!$H:$H,0)),"n/a")</f>
        <v>24</v>
      </c>
      <c r="E23" s="11" t="n">
        <f aca="false">IFERROR(INDEX(DATA!$D:$D,MATCH($B23&amp;"|"&amp;E$4,DATA!$H:$H,0)),"n/a")</f>
        <v>28</v>
      </c>
      <c r="F23" s="11" t="n">
        <f aca="false">IFERROR(INDEX(DATA!$D:$D,MATCH($B23&amp;"|"&amp;F$4,DATA!$H:$H,0)),"n/a")</f>
        <v>32</v>
      </c>
      <c r="G23" s="11" t="n">
        <f aca="false">IFERROR(INDEX(DATA!$D:$D,MATCH($B23&amp;"|"&amp;G$4,DATA!$H:$H,0)),"n/a")</f>
        <v>26</v>
      </c>
      <c r="H23" s="11" t="n">
        <f aca="false">IFERROR(INDEX(DATA!$D:$D,MATCH($B23&amp;"|"&amp;H$4,DATA!$H:$H,0)),"n/a")</f>
        <v>30</v>
      </c>
      <c r="I23" s="11" t="n">
        <f aca="false">IFERROR(INDEX(DATA!$D:$D,MATCH($B23&amp;"|"&amp;I$4,DATA!$H:$H,0)),"n/a")</f>
        <v>44</v>
      </c>
      <c r="J23" s="11" t="n">
        <f aca="false">IFERROR(INDEX(DATA!$D:$D,MATCH($B23&amp;"|"&amp;J$4,DATA!$H:$H,0)),"n/a")</f>
        <v>62</v>
      </c>
      <c r="K23" s="0" t="str">
        <f aca="false">IFERROR(INDEX('LOOKUP TABLES'!$C$3:$C$29,MATCH($B23,'LOOKUP TABLES'!$A$3:$A$29,0)),"Not in dictionary")</f>
        <v>Financial</v>
      </c>
    </row>
    <row r="24" customFormat="false" ht="15" hidden="false" customHeight="false" outlineLevel="0" collapsed="false">
      <c r="A24" s="0" t="s">
        <v>52</v>
      </c>
      <c r="B24" s="0" t="s">
        <v>53</v>
      </c>
      <c r="C24" s="11" t="n">
        <f aca="false">IFERROR(INDEX(DATA!$D:$D,MATCH($B24&amp;"|"&amp;C$4,DATA!$H:$H,0)),"n/a")</f>
        <v>-74</v>
      </c>
      <c r="D24" s="11" t="n">
        <f aca="false">IFERROR(INDEX(DATA!$D:$D,MATCH($B24&amp;"|"&amp;D$4,DATA!$H:$H,0)),"n/a")</f>
        <v>-82</v>
      </c>
      <c r="E24" s="11" t="n">
        <f aca="false">IFERROR(INDEX(DATA!$D:$D,MATCH($B24&amp;"|"&amp;E$4,DATA!$H:$H,0)),"n/a")</f>
        <v>-91</v>
      </c>
      <c r="F24" s="11" t="n">
        <f aca="false">IFERROR(INDEX(DATA!$D:$D,MATCH($B24&amp;"|"&amp;F$4,DATA!$H:$H,0)),"n/a")</f>
        <v>-166</v>
      </c>
      <c r="G24" s="11" t="n">
        <f aca="false">IFERROR(INDEX(DATA!$D:$D,MATCH($B24&amp;"|"&amp;G$4,DATA!$H:$H,0)),"n/a")</f>
        <v>-178</v>
      </c>
      <c r="H24" s="11" t="n">
        <f aca="false">IFERROR(INDEX(DATA!$D:$D,MATCH($B24&amp;"|"&amp;H$4,DATA!$H:$H,0)),"n/a")</f>
        <v>-172</v>
      </c>
      <c r="I24" s="11" t="n">
        <f aca="false">IFERROR(INDEX(DATA!$D:$D,MATCH($B24&amp;"|"&amp;I$4,DATA!$H:$H,0)),"n/a")</f>
        <v>-199</v>
      </c>
      <c r="J24" s="11" t="n">
        <f aca="false">IFERROR(INDEX(DATA!$D:$D,MATCH($B24&amp;"|"&amp;J$4,DATA!$H:$H,0)),"n/a")</f>
        <v>-242</v>
      </c>
      <c r="K24" s="0" t="str">
        <f aca="false">IFERROR(INDEX('LOOKUP TABLES'!$C$3:$C$29,MATCH($B24,'LOOKUP TABLES'!$A$3:$A$29,0)),"Not in dictionary")</f>
        <v>Financial</v>
      </c>
    </row>
    <row r="25" customFormat="false" ht="15" hidden="false" customHeight="false" outlineLevel="0" collapsed="false">
      <c r="A25" s="12" t="s">
        <v>54</v>
      </c>
      <c r="B25" s="13" t="s">
        <v>55</v>
      </c>
      <c r="C25" s="14" t="n">
        <f aca="false">IFERROR(INDEX(DATA!$D:$D,MATCH($B25&amp;"|"&amp;C$4,DATA!$H:$H,0)),"n/a")</f>
        <v>1353</v>
      </c>
      <c r="D25" s="14" t="n">
        <f aca="false">IFERROR(INDEX(DATA!$D:$D,MATCH($B25&amp;"|"&amp;D$4,DATA!$H:$H,0)),"n/a")</f>
        <v>1927</v>
      </c>
      <c r="E25" s="14" t="n">
        <f aca="false">IFERROR(INDEX(DATA!$D:$D,MATCH($B25&amp;"|"&amp;E$4,DATA!$H:$H,0)),"n/a")</f>
        <v>2298</v>
      </c>
      <c r="F25" s="14" t="n">
        <f aca="false">IFERROR(INDEX(DATA!$D:$D,MATCH($B25&amp;"|"&amp;F$4,DATA!$H:$H,0)),"n/a")</f>
        <v>2486</v>
      </c>
      <c r="G25" s="14" t="n">
        <f aca="false">IFERROR(INDEX(DATA!$D:$D,MATCH($B25&amp;"|"&amp;G$4,DATA!$H:$H,0)),"n/a")</f>
        <v>651</v>
      </c>
      <c r="H25" s="14" t="n">
        <f aca="false">IFERROR(INDEX(DATA!$D:$D,MATCH($B25&amp;"|"&amp;H$4,DATA!$H:$H,0)),"n/a")</f>
        <v>1698</v>
      </c>
      <c r="I25" s="14" t="n">
        <f aca="false">IFERROR(INDEX(DATA!$D:$D,MATCH($B25&amp;"|"&amp;I$4,DATA!$H:$H,0)),"n/a")</f>
        <v>232</v>
      </c>
      <c r="J25" s="14" t="n">
        <f aca="false">IFERROR(INDEX(DATA!$D:$D,MATCH($B25&amp;"|"&amp;J$4,DATA!$H:$H,0)),"n/a")</f>
        <v>175</v>
      </c>
      <c r="K25" s="13" t="str">
        <f aca="false">IFERROR(INDEX('LOOKUP TABLES'!$C$3:$C$29,MATCH($B25,'LOOKUP TABLES'!$A$3:$A$29,0)),"Not in dictionary")</f>
        <v>Subtotal</v>
      </c>
    </row>
    <row r="26" customFormat="false" ht="15" hidden="false" customHeight="false" outlineLevel="0" collapsed="false">
      <c r="A26" s="0" t="s">
        <v>56</v>
      </c>
      <c r="B26" s="0" t="s">
        <v>57</v>
      </c>
      <c r="C26" s="11" t="n">
        <f aca="false">IFERROR(INDEX(DATA!$D:$D,MATCH($B26&amp;"|"&amp;C$4,DATA!$H:$H,0)),"n/a")</f>
        <v>-392</v>
      </c>
      <c r="D26" s="11" t="n">
        <f aca="false">IFERROR(INDEX(DATA!$D:$D,MATCH($B26&amp;"|"&amp;D$4,DATA!$H:$H,0)),"n/a")</f>
        <v>-540</v>
      </c>
      <c r="E26" s="11" t="n">
        <f aca="false">IFERROR(INDEX(DATA!$D:$D,MATCH($B26&amp;"|"&amp;E$4,DATA!$H:$H,0)),"n/a")</f>
        <v>-597</v>
      </c>
      <c r="F26" s="11" t="n">
        <f aca="false">IFERROR(INDEX(DATA!$D:$D,MATCH($B26&amp;"|"&amp;F$4,DATA!$H:$H,0)),"n/a")</f>
        <v>-622</v>
      </c>
      <c r="G26" s="11" t="n">
        <f aca="false">IFERROR(INDEX(DATA!$D:$D,MATCH($B26&amp;"|"&amp;G$4,DATA!$H:$H,0)),"n/a")</f>
        <v>-228</v>
      </c>
      <c r="H26" s="11" t="n">
        <f aca="false">IFERROR(INDEX(DATA!$D:$D,MATCH($B26&amp;"|"&amp;H$4,DATA!$H:$H,0)),"n/a")</f>
        <v>-475</v>
      </c>
      <c r="I26" s="11" t="n">
        <f aca="false">IFERROR(INDEX(DATA!$D:$D,MATCH($B26&amp;"|"&amp;I$4,DATA!$H:$H,0)),"n/a")</f>
        <v>-174</v>
      </c>
      <c r="J26" s="11" t="n">
        <f aca="false">IFERROR(INDEX(DATA!$D:$D,MATCH($B26&amp;"|"&amp;J$4,DATA!$H:$H,0)),"n/a")</f>
        <v>-201</v>
      </c>
      <c r="K26" s="0" t="str">
        <f aca="false">IFERROR(INDEX('LOOKUP TABLES'!$C$3:$C$29,MATCH($B26,'LOOKUP TABLES'!$A$3:$A$29,0)),"Not in dictionary")</f>
        <v>Tax</v>
      </c>
    </row>
    <row r="27" customFormat="false" ht="15" hidden="false" customHeight="false" outlineLevel="0" collapsed="false">
      <c r="A27" s="0" t="s">
        <v>58</v>
      </c>
      <c r="B27" s="0" t="s">
        <v>59</v>
      </c>
      <c r="C27" s="15" t="n">
        <f aca="false">IFERROR(INDEX(DATA!$D:$D,MATCH($B27&amp;"|"&amp;C$4,DATA!$H:$H,0)),"n/a")</f>
        <v>0.29</v>
      </c>
      <c r="D27" s="15" t="n">
        <f aca="false">IFERROR(INDEX(DATA!$D:$D,MATCH($B27&amp;"|"&amp;D$4,DATA!$H:$H,0)),"n/a")</f>
        <v>0.28</v>
      </c>
      <c r="E27" s="15" t="n">
        <f aca="false">IFERROR(INDEX(DATA!$D:$D,MATCH($B27&amp;"|"&amp;E$4,DATA!$H:$H,0)),"n/a")</f>
        <v>0.26</v>
      </c>
      <c r="F27" s="15" t="n">
        <f aca="false">IFERROR(INDEX(DATA!$D:$D,MATCH($B27&amp;"|"&amp;F$4,DATA!$H:$H,0)),"n/a")</f>
        <v>0.25</v>
      </c>
      <c r="G27" s="15" t="n">
        <f aca="false">IFERROR(INDEX(DATA!$D:$D,MATCH($B27&amp;"|"&amp;G$4,DATA!$H:$H,0)),"n/a")</f>
        <v>0.35</v>
      </c>
      <c r="H27" s="15" t="n">
        <f aca="false">IFERROR(INDEX(DATA!$D:$D,MATCH($B27&amp;"|"&amp;H$4,DATA!$H:$H,0)),"n/a")</f>
        <v>0.28</v>
      </c>
      <c r="I27" s="15" t="n">
        <f aca="false">IFERROR(INDEX(DATA!$D:$D,MATCH($B27&amp;"|"&amp;I$4,DATA!$H:$H,0)),"n/a")</f>
        <v>0.75</v>
      </c>
      <c r="J27" s="15" t="n">
        <f aca="false">IFERROR(INDEX(DATA!$D:$D,MATCH($B27&amp;"|"&amp;J$4,DATA!$H:$H,0)),"n/a")</f>
        <v>1.149</v>
      </c>
      <c r="K27" s="0" t="str">
        <f aca="false">IFERROR(INDEX('LOOKUP TABLES'!$C$3:$C$29,MATCH($B27,'LOOKUP TABLES'!$A$3:$A$29,0)),"Not in dictionary")</f>
        <v>Not in dictionary</v>
      </c>
    </row>
    <row r="28" customFormat="false" ht="15" hidden="false" customHeight="false" outlineLevel="0" collapsed="false">
      <c r="A28" s="12" t="s">
        <v>60</v>
      </c>
      <c r="B28" s="13" t="s">
        <v>61</v>
      </c>
      <c r="C28" s="14" t="n">
        <f aca="false">IFERROR(INDEX(DATA!$D:$D,MATCH($B28&amp;"|"&amp;C$4,DATA!$H:$H,0)),"n/a")</f>
        <v>961</v>
      </c>
      <c r="D28" s="14" t="n">
        <f aca="false">IFERROR(INDEX(DATA!$D:$D,MATCH($B28&amp;"|"&amp;D$4,DATA!$H:$H,0)),"n/a")</f>
        <v>1387</v>
      </c>
      <c r="E28" s="14" t="n">
        <f aca="false">IFERROR(INDEX(DATA!$D:$D,MATCH($B28&amp;"|"&amp;E$4,DATA!$H:$H,0)),"n/a")</f>
        <v>1701</v>
      </c>
      <c r="F28" s="14" t="n">
        <f aca="false">IFERROR(INDEX(DATA!$D:$D,MATCH($B28&amp;"|"&amp;F$4,DATA!$H:$H,0)),"n/a")</f>
        <v>1864</v>
      </c>
      <c r="G28" s="14" t="n">
        <f aca="false">IFERROR(INDEX(DATA!$D:$D,MATCH($B28&amp;"|"&amp;G$4,DATA!$H:$H,0)),"n/a")</f>
        <v>423</v>
      </c>
      <c r="H28" s="14" t="n">
        <f aca="false">IFERROR(INDEX(DATA!$D:$D,MATCH($B28&amp;"|"&amp;H$4,DATA!$H:$H,0)),"n/a")</f>
        <v>1223</v>
      </c>
      <c r="I28" s="14" t="n">
        <f aca="false">IFERROR(INDEX(DATA!$D:$D,MATCH($B28&amp;"|"&amp;I$4,DATA!$H:$H,0)),"n/a")</f>
        <v>58</v>
      </c>
      <c r="J28" s="14" t="n">
        <f aca="false">IFERROR(INDEX(DATA!$D:$D,MATCH($B28&amp;"|"&amp;J$4,DATA!$H:$H,0)),"n/a")</f>
        <v>-26</v>
      </c>
      <c r="K28" s="13" t="str">
        <f aca="false">IFERROR(INDEX('LOOKUP TABLES'!$C$3:$C$29,MATCH($B28,'LOOKUP TABLES'!$A$3:$A$29,0)),"Not in dictionary")</f>
        <v>Subtotal</v>
      </c>
    </row>
    <row r="29" customFormat="false" ht="15" hidden="false" customHeight="false" outlineLevel="0" collapsed="false">
      <c r="A29" s="0" t="s">
        <v>62</v>
      </c>
      <c r="B29" s="0" t="s">
        <v>63</v>
      </c>
      <c r="C29" s="11" t="n">
        <f aca="false">IFERROR(INDEX(DATA!$D:$D,MATCH($B29&amp;"|"&amp;C$4,DATA!$H:$H,0)),"n/a")</f>
        <v>0</v>
      </c>
      <c r="D29" s="11" t="n">
        <f aca="false">IFERROR(INDEX(DATA!$D:$D,MATCH($B29&amp;"|"&amp;D$4,DATA!$H:$H,0)),"n/a")</f>
        <v>0</v>
      </c>
      <c r="E29" s="11" t="n">
        <f aca="false">IFERROR(INDEX(DATA!$D:$D,MATCH($B29&amp;"|"&amp;E$4,DATA!$H:$H,0)),"n/a")</f>
        <v>0</v>
      </c>
      <c r="F29" s="11" t="n">
        <f aca="false">IFERROR(INDEX(DATA!$D:$D,MATCH($B29&amp;"|"&amp;F$4,DATA!$H:$H,0)),"n/a")</f>
        <v>0</v>
      </c>
      <c r="G29" s="11" t="n">
        <f aca="false">IFERROR(INDEX(DATA!$D:$D,MATCH($B29&amp;"|"&amp;G$4,DATA!$H:$H,0)),"n/a")</f>
        <v>-70</v>
      </c>
      <c r="H29" s="11" t="n">
        <f aca="false">IFERROR(INDEX(DATA!$D:$D,MATCH($B29&amp;"|"&amp;H$4,DATA!$H:$H,0)),"n/a")</f>
        <v>232</v>
      </c>
      <c r="I29" s="11" t="n">
        <f aca="false">IFERROR(INDEX(DATA!$D:$D,MATCH($B29&amp;"|"&amp;I$4,DATA!$H:$H,0)),"n/a")</f>
        <v>0</v>
      </c>
      <c r="J29" s="11" t="n">
        <f aca="false">IFERROR(INDEX(DATA!$D:$D,MATCH($B29&amp;"|"&amp;J$4,DATA!$H:$H,0)),"n/a")</f>
        <v>0</v>
      </c>
      <c r="K29" s="0" t="str">
        <f aca="false">IFERROR(INDEX('LOOKUP TABLES'!$C$3:$C$29,MATCH($B29,'LOOKUP TABLES'!$A$3:$A$29,0)),"Not in dictionary")</f>
        <v>Subtotal</v>
      </c>
    </row>
    <row r="30" customFormat="false" ht="15" hidden="false" customHeight="false" outlineLevel="0" collapsed="false">
      <c r="A30" s="12" t="s">
        <v>64</v>
      </c>
      <c r="B30" s="13" t="s">
        <v>65</v>
      </c>
      <c r="C30" s="14" t="n">
        <f aca="false">IFERROR(INDEX(DATA!$D:$D,MATCH($B30&amp;"|"&amp;C$4,DATA!$H:$H,0)),"n/a")</f>
        <v>961</v>
      </c>
      <c r="D30" s="14" t="n">
        <f aca="false">IFERROR(INDEX(DATA!$D:$D,MATCH($B30&amp;"|"&amp;D$4,DATA!$H:$H,0)),"n/a")</f>
        <v>1387</v>
      </c>
      <c r="E30" s="14" t="n">
        <f aca="false">IFERROR(INDEX(DATA!$D:$D,MATCH($B30&amp;"|"&amp;E$4,DATA!$H:$H,0)),"n/a")</f>
        <v>1701</v>
      </c>
      <c r="F30" s="14" t="n">
        <f aca="false">IFERROR(INDEX(DATA!$D:$D,MATCH($B30&amp;"|"&amp;F$4,DATA!$H:$H,0)),"n/a")</f>
        <v>1864</v>
      </c>
      <c r="G30" s="14" t="n">
        <f aca="false">IFERROR(INDEX(DATA!$D:$D,MATCH($B30&amp;"|"&amp;G$4,DATA!$H:$H,0)),"n/a")</f>
        <v>353</v>
      </c>
      <c r="H30" s="14" t="n">
        <f aca="false">IFERROR(INDEX(DATA!$D:$D,MATCH($B30&amp;"|"&amp;H$4,DATA!$H:$H,0)),"n/a")</f>
        <v>1455</v>
      </c>
      <c r="I30" s="14" t="n">
        <f aca="false">IFERROR(INDEX(DATA!$D:$D,MATCH($B30&amp;"|"&amp;I$4,DATA!$H:$H,0)),"n/a")</f>
        <v>58</v>
      </c>
      <c r="J30" s="14" t="n">
        <f aca="false">IFERROR(INDEX(DATA!$D:$D,MATCH($B30&amp;"|"&amp;J$4,DATA!$H:$H,0)),"n/a")</f>
        <v>-26</v>
      </c>
      <c r="K30" s="13" t="str">
        <f aca="false">IFERROR(INDEX('LOOKUP TABLES'!$C$3:$C$29,MATCH($B30,'LOOKUP TABLES'!$A$3:$A$29,0)),"Not in dictionary")</f>
        <v>Subtotal</v>
      </c>
    </row>
    <row r="31" customFormat="false" ht="15" hidden="false" customHeight="false" outlineLevel="0" collapsed="false">
      <c r="A31" s="0" t="s">
        <v>66</v>
      </c>
      <c r="B31" s="0" t="s">
        <v>67</v>
      </c>
      <c r="C31" s="11" t="n">
        <f aca="false">IFERROR(INDEX(DATA!$D:$D,MATCH($B31&amp;"|"&amp;C$4,DATA!$H:$H,0)),"n/a")</f>
        <v>-12</v>
      </c>
      <c r="D31" s="11" t="n">
        <f aca="false">IFERROR(INDEX(DATA!$D:$D,MATCH($B31&amp;"|"&amp;D$4,DATA!$H:$H,0)),"n/a")</f>
        <v>-14</v>
      </c>
      <c r="E31" s="11" t="n">
        <f aca="false">IFERROR(INDEX(DATA!$D:$D,MATCH($B31&amp;"|"&amp;E$4,DATA!$H:$H,0)),"n/a")</f>
        <v>-11</v>
      </c>
      <c r="F31" s="11" t="n">
        <f aca="false">IFERROR(INDEX(DATA!$D:$D,MATCH($B31&amp;"|"&amp;F$4,DATA!$H:$H,0)),"n/a")</f>
        <v>-9</v>
      </c>
      <c r="G31" s="11" t="n">
        <f aca="false">IFERROR(INDEX(DATA!$D:$D,MATCH($B31&amp;"|"&amp;G$4,DATA!$H:$H,0)),"n/a")</f>
        <v>-6</v>
      </c>
      <c r="H31" s="11" t="n">
        <f aca="false">IFERROR(INDEX(DATA!$D:$D,MATCH($B31&amp;"|"&amp;H$4,DATA!$H:$H,0)),"n/a")</f>
        <v>-8</v>
      </c>
      <c r="I31" s="11" t="n">
        <f aca="false">IFERROR(INDEX(DATA!$D:$D,MATCH($B31&amp;"|"&amp;I$4,DATA!$H:$H,0)),"n/a")</f>
        <v>-8</v>
      </c>
      <c r="J31" s="11" t="n">
        <f aca="false">IFERROR(INDEX(DATA!$D:$D,MATCH($B31&amp;"|"&amp;J$4,DATA!$H:$H,0)),"n/a")</f>
        <v>-7</v>
      </c>
      <c r="K31" s="0" t="str">
        <f aca="false">IFERROR(INDEX('LOOKUP TABLES'!$C$3:$C$29,MATCH($B31,'LOOKUP TABLES'!$A$3:$A$29,0)),"Not in dictionary")</f>
        <v>Subtotal</v>
      </c>
    </row>
    <row r="32" customFormat="false" ht="15" hidden="false" customHeight="false" outlineLevel="0" collapsed="false">
      <c r="A32" s="12" t="s">
        <v>68</v>
      </c>
      <c r="B32" s="13" t="s">
        <v>69</v>
      </c>
      <c r="C32" s="14" t="n">
        <f aca="false">IFERROR(INDEX(DATA!$D:$D,MATCH($B32&amp;"|"&amp;C$4,DATA!$H:$H,0)),"n/a")</f>
        <v>949</v>
      </c>
      <c r="D32" s="14" t="n">
        <f aca="false">IFERROR(INDEX(DATA!$D:$D,MATCH($B32&amp;"|"&amp;D$4,DATA!$H:$H,0)),"n/a")</f>
        <v>1373</v>
      </c>
      <c r="E32" s="14" t="n">
        <f aca="false">IFERROR(INDEX(DATA!$D:$D,MATCH($B32&amp;"|"&amp;E$4,DATA!$H:$H,0)),"n/a")</f>
        <v>1690</v>
      </c>
      <c r="F32" s="14" t="n">
        <f aca="false">IFERROR(INDEX(DATA!$D:$D,MATCH($B32&amp;"|"&amp;F$4,DATA!$H:$H,0)),"n/a")</f>
        <v>1855</v>
      </c>
      <c r="G32" s="14" t="n">
        <f aca="false">IFERROR(INDEX(DATA!$D:$D,MATCH($B32&amp;"|"&amp;G$4,DATA!$H:$H,0)),"n/a")</f>
        <v>347</v>
      </c>
      <c r="H32" s="14" t="n">
        <f aca="false">IFERROR(INDEX(DATA!$D:$D,MATCH($B32&amp;"|"&amp;H$4,DATA!$H:$H,0)),"n/a")</f>
        <v>1447</v>
      </c>
      <c r="I32" s="14" t="n">
        <f aca="false">IFERROR(INDEX(DATA!$D:$D,MATCH($B32&amp;"|"&amp;I$4,DATA!$H:$H,0)),"n/a")</f>
        <v>50</v>
      </c>
      <c r="J32" s="14" t="n">
        <f aca="false">IFERROR(INDEX(DATA!$D:$D,MATCH($B32&amp;"|"&amp;J$4,DATA!$H:$H,0)),"n/a")</f>
        <v>-33</v>
      </c>
      <c r="K32" s="13" t="str">
        <f aca="false">IFERROR(INDEX('LOOKUP TABLES'!$C$3:$C$29,MATCH($B32,'LOOKUP TABLES'!$A$3:$A$29,0)),"Not in dictionary")</f>
        <v>Subtotal</v>
      </c>
    </row>
    <row r="33" customFormat="false" ht="15" hidden="false" customHeight="false" outlineLevel="0" collapsed="false">
      <c r="A33" s="0" t="s">
        <v>70</v>
      </c>
      <c r="B33" s="0" t="s">
        <v>71</v>
      </c>
      <c r="C33" s="16" t="n">
        <f aca="false">IFERROR(INDEX(DATA!$D:$D,MATCH($B33&amp;"|"&amp;C$4,DATA!$H:$H,0)),"n/a")</f>
        <v>4.72</v>
      </c>
      <c r="D33" s="16" t="n">
        <f aca="false">IFERROR(INDEX(DATA!$D:$D,MATCH($B33&amp;"|"&amp;D$4,DATA!$H:$H,0)),"n/a")</f>
        <v>6.78</v>
      </c>
      <c r="E33" s="16" t="n">
        <f aca="false">IFERROR(INDEX(DATA!$D:$D,MATCH($B33&amp;"|"&amp;E$4,DATA!$H:$H,0)),"n/a")</f>
        <v>8.45</v>
      </c>
      <c r="F33" s="16" t="n">
        <f aca="false">IFERROR(INDEX(DATA!$D:$D,MATCH($B33&amp;"|"&amp;F$4,DATA!$H:$H,0)),"n/a")</f>
        <v>9.48</v>
      </c>
      <c r="G33" s="16" t="n">
        <f aca="false">IFERROR(INDEX(DATA!$D:$D,MATCH($B33&amp;"|"&amp;G$4,DATA!$H:$H,0)),"n/a")</f>
        <v>1.79</v>
      </c>
      <c r="H33" s="16" t="n">
        <f aca="false">IFERROR(INDEX(DATA!$D:$D,MATCH($B33&amp;"|"&amp;H$4,DATA!$H:$H,0)),"n/a")</f>
        <v>7.39</v>
      </c>
      <c r="I33" s="16" t="n">
        <f aca="false">IFERROR(INDEX(DATA!$D:$D,MATCH($B33&amp;"|"&amp;I$4,DATA!$H:$H,0)),"n/a")</f>
        <v>0.27</v>
      </c>
      <c r="J33" s="16" t="n">
        <f aca="false">IFERROR(INDEX(DATA!$D:$D,MATCH($B33&amp;"|"&amp;J$4,DATA!$H:$H,0)),"n/a")</f>
        <v>-0.18</v>
      </c>
      <c r="K33" s="0" t="str">
        <f aca="false">IFERROR(INDEX('LOOKUP TABLES'!$C$3:$C$29,MATCH($B33,'LOOKUP TABLES'!$A$3:$A$29,0)),"Not in dictionary")</f>
        <v>Per share</v>
      </c>
    </row>
    <row r="34" customFormat="false" ht="15" hidden="false" customHeight="false" outlineLevel="0" collapsed="false">
      <c r="A34" s="0" t="s">
        <v>72</v>
      </c>
      <c r="B34" s="0" t="s">
        <v>73</v>
      </c>
      <c r="C34" s="16" t="n">
        <f aca="false">IFERROR(INDEX(DATA!$D:$D,MATCH($B34&amp;"|"&amp;C$4,DATA!$H:$H,0)),"n/a")</f>
        <v>4.7</v>
      </c>
      <c r="D34" s="16" t="n">
        <f aca="false">IFERROR(INDEX(DATA!$D:$D,MATCH($B34&amp;"|"&amp;D$4,DATA!$H:$H,0)),"n/a")</f>
        <v>6.75</v>
      </c>
      <c r="E34" s="16" t="n">
        <f aca="false">IFERROR(INDEX(DATA!$D:$D,MATCH($B34&amp;"|"&amp;E$4,DATA!$H:$H,0)),"n/a")</f>
        <v>8.42</v>
      </c>
      <c r="F34" s="16" t="n">
        <f aca="false">IFERROR(INDEX(DATA!$D:$D,MATCH($B34&amp;"|"&amp;F$4,DATA!$H:$H,0)),"n/a")</f>
        <v>9.44</v>
      </c>
      <c r="G34" s="16" t="n">
        <f aca="false">IFERROR(INDEX(DATA!$D:$D,MATCH($B34&amp;"|"&amp;G$4,DATA!$H:$H,0)),"n/a")</f>
        <v>1.78</v>
      </c>
      <c r="H34" s="16" t="n">
        <f aca="false">IFERROR(INDEX(DATA!$D:$D,MATCH($B34&amp;"|"&amp;H$4,DATA!$H:$H,0)),"n/a")</f>
        <v>7.36</v>
      </c>
      <c r="I34" s="16" t="n">
        <f aca="false">IFERROR(INDEX(DATA!$D:$D,MATCH($B34&amp;"|"&amp;I$4,DATA!$H:$H,0)),"n/a")</f>
        <v>0.27</v>
      </c>
      <c r="J34" s="16" t="n">
        <f aca="false">IFERROR(INDEX(DATA!$D:$D,MATCH($B34&amp;"|"&amp;J$4,DATA!$H:$H,0)),"n/a")</f>
        <v>-0.18</v>
      </c>
      <c r="K34" s="0" t="str">
        <f aca="false">IFERROR(INDEX('LOOKUP TABLES'!$C$3:$C$29,MATCH($B34,'LOOKUP TABLES'!$A$3:$A$29,0)),"Not in dictionary")</f>
        <v>Per share</v>
      </c>
    </row>
    <row r="35" customFormat="false" ht="15" hidden="false" customHeight="false" outlineLevel="0" collapsed="false">
      <c r="A35" s="0" t="s">
        <v>74</v>
      </c>
      <c r="B35" s="0" t="s">
        <v>75</v>
      </c>
      <c r="C35" s="11" t="n">
        <f aca="false">IFERROR(INDEX(DATA!$D:$D,MATCH($B35&amp;"|"&amp;C$4,DATA!$H:$H,0)),"n/a")</f>
        <v>201</v>
      </c>
      <c r="D35" s="11" t="n">
        <f aca="false">IFERROR(INDEX(DATA!$D:$D,MATCH($B35&amp;"|"&amp;D$4,DATA!$H:$H,0)),"n/a")</f>
        <v>202.5</v>
      </c>
      <c r="E35" s="11" t="n">
        <f aca="false">IFERROR(INDEX(DATA!$D:$D,MATCH($B35&amp;"|"&amp;E$4,DATA!$H:$H,0)),"n/a")</f>
        <v>200</v>
      </c>
      <c r="F35" s="11" t="n">
        <f aca="false">IFERROR(INDEX(DATA!$D:$D,MATCH($B35&amp;"|"&amp;F$4,DATA!$H:$H,0)),"n/a")</f>
        <v>195.7</v>
      </c>
      <c r="G35" s="11" t="n">
        <f aca="false">IFERROR(INDEX(DATA!$D:$D,MATCH($B35&amp;"|"&amp;G$4,DATA!$H:$H,0)),"n/a")</f>
        <v>194.3</v>
      </c>
      <c r="H35" s="11" t="n">
        <f aca="false">IFERROR(INDEX(DATA!$D:$D,MATCH($B35&amp;"|"&amp;H$4,DATA!$H:$H,0)),"n/a")</f>
        <v>195.8</v>
      </c>
      <c r="I35" s="11" t="n">
        <f aca="false">IFERROR(INDEX(DATA!$D:$D,MATCH($B35&amp;"|"&amp;I$4,DATA!$H:$H,0)),"n/a")</f>
        <v>183.5</v>
      </c>
      <c r="J35" s="11" t="n">
        <f aca="false">IFERROR(INDEX(DATA!$D:$D,MATCH($B35&amp;"|"&amp;J$4,DATA!$H:$H,0)),"n/a")</f>
        <v>178.6</v>
      </c>
      <c r="K35" s="0" t="str">
        <f aca="false">IFERROR(INDEX('LOOKUP TABLES'!$C$3:$C$29,MATCH($B35,'LOOKUP TABLES'!$A$3:$A$29,0)),"Not in dictionary")</f>
        <v>Not in dictionary</v>
      </c>
    </row>
    <row r="36" customFormat="false" ht="15" hidden="false" customHeight="false" outlineLevel="0" collapsed="false">
      <c r="A36" s="0" t="s">
        <v>76</v>
      </c>
      <c r="B36" s="0" t="s">
        <v>77</v>
      </c>
      <c r="C36" s="11" t="n">
        <f aca="false">IFERROR(INDEX(DATA!$D:$D,MATCH($B36&amp;"|"&amp;C$4,DATA!$H:$H,0)),"n/a")</f>
        <v>201.8</v>
      </c>
      <c r="D36" s="11" t="n">
        <f aca="false">IFERROR(INDEX(DATA!$D:$D,MATCH($B36&amp;"|"&amp;D$4,DATA!$H:$H,0)),"n/a")</f>
        <v>203.3</v>
      </c>
      <c r="E36" s="11" t="n">
        <f aca="false">IFERROR(INDEX(DATA!$D:$D,MATCH($B36&amp;"|"&amp;E$4,DATA!$H:$H,0)),"n/a")</f>
        <v>200.8</v>
      </c>
      <c r="F36" s="11" t="n">
        <f aca="false">IFERROR(INDEX(DATA!$D:$D,MATCH($B36&amp;"|"&amp;F$4,DATA!$H:$H,0)),"n/a")</f>
        <v>196.5</v>
      </c>
      <c r="G36" s="11" t="n">
        <f aca="false">IFERROR(INDEX(DATA!$D:$D,MATCH($B36&amp;"|"&amp;G$4,DATA!$H:$H,0)),"n/a")</f>
        <v>195.1</v>
      </c>
      <c r="H36" s="11" t="n">
        <f aca="false">IFERROR(INDEX(DATA!$D:$D,MATCH($B36&amp;"|"&amp;H$4,DATA!$H:$H,0)),"n/a")</f>
        <v>196.6</v>
      </c>
      <c r="I36" s="11" t="n">
        <f aca="false">IFERROR(INDEX(DATA!$D:$D,MATCH($B36&amp;"|"&amp;I$4,DATA!$H:$H,0)),"n/a")</f>
        <v>184.2</v>
      </c>
      <c r="J36" s="11" t="n">
        <f aca="false">IFERROR(INDEX(DATA!$D:$D,MATCH($B36&amp;"|"&amp;J$4,DATA!$H:$H,0)),"n/a")</f>
        <v>179.3</v>
      </c>
      <c r="K36" s="0" t="str">
        <f aca="false">IFERROR(INDEX('LOOKUP TABLES'!$C$3:$C$29,MATCH($B36,'LOOKUP TABLES'!$A$3:$A$29,0)),"Not in dictionary")</f>
        <v>Not in dictionary</v>
      </c>
    </row>
    <row r="37" customFormat="false" ht="15" hidden="false" customHeight="false" outlineLevel="0" collapsed="false">
      <c r="A37" s="0" t="s">
        <v>78</v>
      </c>
      <c r="B37" s="0" t="s">
        <v>79</v>
      </c>
      <c r="C37" s="16" t="n">
        <f aca="false">IFERROR(INDEX(DATA!$D:$D,MATCH($B37&amp;"|"&amp;C$4,DATA!$H:$H,0)),"n/a")</f>
        <v>2</v>
      </c>
      <c r="D37" s="16" t="n">
        <f aca="false">IFERROR(INDEX(DATA!$D:$D,MATCH($B37&amp;"|"&amp;D$4,DATA!$H:$H,0)),"n/a")</f>
        <v>2.6</v>
      </c>
      <c r="E37" s="16" t="n">
        <f aca="false">IFERROR(INDEX(DATA!$D:$D,MATCH($B37&amp;"|"&amp;E$4,DATA!$H:$H,0)),"n/a")</f>
        <v>3.35</v>
      </c>
      <c r="F37" s="16" t="n">
        <f aca="false">IFERROR(INDEX(DATA!$D:$D,MATCH($B37&amp;"|"&amp;F$4,DATA!$H:$H,0)),"n/a")</f>
        <v>3.85</v>
      </c>
      <c r="G37" s="16" t="n">
        <f aca="false">IFERROR(INDEX(DATA!$D:$D,MATCH($B37&amp;"|"&amp;G$4,DATA!$H:$H,0)),"n/a")</f>
        <v>0</v>
      </c>
      <c r="H37" s="16" t="n">
        <f aca="false">IFERROR(INDEX(DATA!$D:$D,MATCH($B37&amp;"|"&amp;H$4,DATA!$H:$H,0)),"n/a")</f>
        <v>3.3</v>
      </c>
      <c r="I37" s="16" t="n">
        <f aca="false">IFERROR(INDEX(DATA!$D:$D,MATCH($B37&amp;"|"&amp;I$4,DATA!$H:$H,0)),"n/a")</f>
        <v>0.7</v>
      </c>
      <c r="J37" s="16" t="n">
        <f aca="false">IFERROR(INDEX(DATA!$D:$D,MATCH($B37&amp;"|"&amp;J$4,DATA!$H:$H,0)),"n/a")</f>
        <v>0.7</v>
      </c>
      <c r="K37" s="0" t="str">
        <f aca="false">IFERROR(INDEX('LOOKUP TABLES'!$C$3:$C$29,MATCH($B37,'LOOKUP TABLES'!$A$3:$A$29,0)),"Not in dictionary")</f>
        <v>Not in dictionary</v>
      </c>
    </row>
    <row r="38" customFormat="false" ht="15" hidden="false" customHeight="false" outlineLevel="0" collapsed="false">
      <c r="A38" s="0" t="s">
        <v>80</v>
      </c>
      <c r="B38" s="0" t="s">
        <v>81</v>
      </c>
      <c r="C38" s="11" t="str">
        <f aca="false">IFERROR(INDEX(DATA!$D:$D,MATCH($B38&amp;"|"&amp;C$4,DATA!$H:$H,0)),"n/a")</f>
        <v>n/a</v>
      </c>
      <c r="D38" s="11" t="str">
        <f aca="false">IFERROR(INDEX(DATA!$D:$D,MATCH($B38&amp;"|"&amp;D$4,DATA!$H:$H,0)),"n/a")</f>
        <v>n/a</v>
      </c>
      <c r="E38" s="11" t="str">
        <f aca="false">IFERROR(INDEX(DATA!$D:$D,MATCH($B38&amp;"|"&amp;E$4,DATA!$H:$H,0)),"n/a")</f>
        <v>n/a</v>
      </c>
      <c r="F38" s="11" t="str">
        <f aca="false">IFERROR(INDEX(DATA!$D:$D,MATCH($B38&amp;"|"&amp;F$4,DATA!$H:$H,0)),"n/a")</f>
        <v>n/a</v>
      </c>
      <c r="G38" s="11" t="str">
        <f aca="false">IFERROR(INDEX(DATA!$D:$D,MATCH($B38&amp;"|"&amp;G$4,DATA!$H:$H,0)),"n/a")</f>
        <v>n/a</v>
      </c>
      <c r="H38" s="11" t="str">
        <f aca="false">IFERROR(INDEX(DATA!$D:$D,MATCH($B38&amp;"|"&amp;H$4,DATA!$H:$H,0)),"n/a")</f>
        <v>n/a</v>
      </c>
      <c r="I38" s="11" t="str">
        <f aca="false">IFERROR(INDEX(DATA!$D:$D,MATCH($B38&amp;"|"&amp;I$4,DATA!$H:$H,0)),"n/a")</f>
        <v>n/a</v>
      </c>
      <c r="J38" s="11" t="str">
        <f aca="false">IFERROR(INDEX(DATA!$D:$D,MATCH($B38&amp;"|"&amp;J$4,DATA!$H:$H,0)),"n/a")</f>
        <v>n/a</v>
      </c>
      <c r="K38" s="0" t="str">
        <f aca="false">IFERROR(INDEX('LOOKUP TABLES'!$C$3:$C$29,MATCH($B38,'LOOKUP TABLES'!$A$3:$A$29,0)),"Not in dictionary")</f>
        <v>Not in dictionary</v>
      </c>
    </row>
    <row r="39" customFormat="false" ht="15" hidden="false" customHeight="false" outlineLevel="0" collapsed="false">
      <c r="A39" s="0" t="s">
        <v>82</v>
      </c>
      <c r="B39" s="0" t="s">
        <v>83</v>
      </c>
      <c r="C39" s="11" t="str">
        <f aca="false">IFERROR(INDEX(DATA!$D:$D,MATCH($B39&amp;"|"&amp;C$4,DATA!$H:$H,0)),"n/a")</f>
        <v>n/a</v>
      </c>
      <c r="D39" s="11" t="str">
        <f aca="false">IFERROR(INDEX(DATA!$D:$D,MATCH($B39&amp;"|"&amp;D$4,DATA!$H:$H,0)),"n/a")</f>
        <v>n/a</v>
      </c>
      <c r="E39" s="11" t="str">
        <f aca="false">IFERROR(INDEX(DATA!$D:$D,MATCH($B39&amp;"|"&amp;E$4,DATA!$H:$H,0)),"n/a")</f>
        <v>n/a</v>
      </c>
      <c r="F39" s="11" t="str">
        <f aca="false">IFERROR(INDEX(DATA!$D:$D,MATCH($B39&amp;"|"&amp;F$4,DATA!$H:$H,0)),"n/a")</f>
        <v>n/a</v>
      </c>
      <c r="G39" s="11" t="str">
        <f aca="false">IFERROR(INDEX(DATA!$D:$D,MATCH($B39&amp;"|"&amp;G$4,DATA!$H:$H,0)),"n/a")</f>
        <v>n/a</v>
      </c>
      <c r="H39" s="11" t="str">
        <f aca="false">IFERROR(INDEX(DATA!$D:$D,MATCH($B39&amp;"|"&amp;H$4,DATA!$H:$H,0)),"n/a")</f>
        <v>n/a</v>
      </c>
      <c r="I39" s="11" t="str">
        <f aca="false">IFERROR(INDEX(DATA!$D:$D,MATCH($B39&amp;"|"&amp;I$4,DATA!$H:$H,0)),"n/a")</f>
        <v>n/a</v>
      </c>
      <c r="J39" s="11" t="str">
        <f aca="false">IFERROR(INDEX(DATA!$D:$D,MATCH($B39&amp;"|"&amp;J$4,DATA!$H:$H,0)),"n/a")</f>
        <v>n/a</v>
      </c>
      <c r="K39" s="0" t="str">
        <f aca="false">IFERROR(INDEX('LOOKUP TABLES'!$C$3:$C$29,MATCH($B39,'LOOKUP TABLES'!$A$3:$A$29,0)),"Not in dictionary")</f>
        <v>Not in dictionary</v>
      </c>
    </row>
  </sheetData>
  <conditionalFormatting sqref="C12:J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2:J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"/>
    <col collapsed="false" customWidth="true" hidden="false" outlineLevel="0" max="10" min="3" style="0" width="12"/>
  </cols>
  <sheetData>
    <row r="1" customFormat="false" ht="17.35" hidden="false" customHeight="false" outlineLevel="0" collapsed="false">
      <c r="A1" s="7" t="s">
        <v>84</v>
      </c>
    </row>
    <row r="3" customFormat="false" ht="15" hidden="false" customHeight="false" outlineLevel="0" collapsed="false">
      <c r="A3" s="10" t="s">
        <v>85</v>
      </c>
      <c r="B3" s="17"/>
      <c r="C3" s="10" t="n">
        <v>2016</v>
      </c>
      <c r="D3" s="10" t="n">
        <v>2017</v>
      </c>
      <c r="E3" s="10" t="n">
        <v>2018</v>
      </c>
      <c r="F3" s="10" t="n">
        <v>2019</v>
      </c>
      <c r="G3" s="10" t="n">
        <v>2020</v>
      </c>
      <c r="H3" s="10" t="n">
        <v>2021</v>
      </c>
      <c r="I3" s="10" t="n">
        <v>2022</v>
      </c>
      <c r="J3" s="10" t="n">
        <v>2023</v>
      </c>
    </row>
    <row r="4" customFormat="false" ht="15" hidden="false" customHeight="false" outlineLevel="0" collapsed="false">
      <c r="A4" s="3" t="s">
        <v>86</v>
      </c>
    </row>
    <row r="5" customFormat="false" ht="15" hidden="false" customHeight="false" outlineLevel="0" collapsed="false">
      <c r="A5" s="18" t="s">
        <v>87</v>
      </c>
      <c r="D5" s="19" t="n">
        <f aca="false">IFERROR('MASTER P&amp;L'!D8/'MASTER P&amp;L'!C8-1,"n/a")</f>
        <v>0.14797381377482</v>
      </c>
      <c r="E5" s="19" t="n">
        <f aca="false">IFERROR('MASTER P&amp;L'!E8/'MASTER P&amp;L'!D8-1,"n/a")</f>
        <v>0.0328494674333113</v>
      </c>
      <c r="F5" s="19" t="n">
        <f aca="false">IFERROR('MASTER P&amp;L'!F8/'MASTER P&amp;L'!E8-1,"n/a")</f>
        <v>0.0787132101300478</v>
      </c>
      <c r="G5" s="19" t="n">
        <f aca="false">IFERROR('MASTER P&amp;L'!G8/'MASTER P&amp;L'!F8-1,"n/a")</f>
        <v>-0.160575296108291</v>
      </c>
      <c r="H5" s="19" t="n">
        <f aca="false">IFERROR('MASTER P&amp;L'!H8/'MASTER P&amp;L'!G8-1,"n/a")</f>
        <v>0.070046361620641</v>
      </c>
      <c r="I5" s="19" t="n">
        <f aca="false">IFERROR('MASTER P&amp;L'!I8/'MASTER P&amp;L'!H8-1,"n/a")</f>
        <v>0.0601393990769521</v>
      </c>
      <c r="J5" s="19" t="n">
        <f aca="false">IFERROR('MASTER P&amp;L'!J8/'MASTER P&amp;L'!I8-1,"n/a")</f>
        <v>-0.0481542357069877</v>
      </c>
    </row>
    <row r="6" customFormat="false" ht="15" hidden="false" customHeight="false" outlineLevel="0" collapsed="false">
      <c r="A6" s="18" t="s">
        <v>88</v>
      </c>
      <c r="D6" s="19" t="n">
        <f aca="false">IFERROR('MASTER P&amp;L'!D11/'MASTER P&amp;L'!C11-1,"n/a")</f>
        <v>0.190470889457865</v>
      </c>
      <c r="E6" s="19" t="n">
        <f aca="false">IFERROR('MASTER P&amp;L'!E11/'MASTER P&amp;L'!D11-1,"n/a")</f>
        <v>0.0574153731064149</v>
      </c>
      <c r="F6" s="19" t="n">
        <f aca="false">IFERROR('MASTER P&amp;L'!F11/'MASTER P&amp;L'!E11-1,"n/a")</f>
        <v>0.0871064732932436</v>
      </c>
      <c r="G6" s="19" t="n">
        <f aca="false">IFERROR('MASTER P&amp;L'!G11/'MASTER P&amp;L'!F11-1,"n/a")</f>
        <v>-0.197754819816156</v>
      </c>
      <c r="H6" s="19" t="n">
        <f aca="false">IFERROR('MASTER P&amp;L'!H11/'MASTER P&amp;L'!G11-1,"n/a")</f>
        <v>0.087304806327317</v>
      </c>
      <c r="I6" s="19" t="n">
        <f aca="false">IFERROR('MASTER P&amp;L'!I11/'MASTER P&amp;L'!H11-1,"n/a")</f>
        <v>-0.00699431129348127</v>
      </c>
      <c r="J6" s="19" t="n">
        <f aca="false">IFERROR('MASTER P&amp;L'!J11/'MASTER P&amp;L'!I11-1,"n/a")</f>
        <v>-0.0441397445529677</v>
      </c>
    </row>
    <row r="7" customFormat="false" ht="15" hidden="false" customHeight="false" outlineLevel="0" collapsed="false">
      <c r="A7" s="18" t="s">
        <v>89</v>
      </c>
      <c r="D7" s="19" t="n">
        <f aca="false">IFERROR('MASTER P&amp;L'!D21/'MASTER P&amp;L'!C21-1,"n/a")</f>
        <v>0.410803127221038</v>
      </c>
      <c r="E7" s="19" t="n">
        <f aca="false">IFERROR('MASTER P&amp;L'!E21/'MASTER P&amp;L'!D21-1,"n/a")</f>
        <v>0.189420654911839</v>
      </c>
      <c r="F7" s="19" t="n">
        <f aca="false">IFERROR('MASTER P&amp;L'!F21/'MASTER P&amp;L'!E21-1,"n/a")</f>
        <v>0.109699279966116</v>
      </c>
      <c r="G7" s="19" t="n">
        <f aca="false">IFERROR('MASTER P&amp;L'!G21/'MASTER P&amp;L'!F21-1,"n/a")</f>
        <v>-0.693511450381679</v>
      </c>
      <c r="H7" s="19" t="n">
        <f aca="false">IFERROR('MASTER P&amp;L'!H21/'MASTER P&amp;L'!G21-1,"n/a")</f>
        <v>1.29140722291407</v>
      </c>
      <c r="I7" s="19" t="n">
        <f aca="false">IFERROR('MASTER P&amp;L'!I21/'MASTER P&amp;L'!H21-1,"n/a")</f>
        <v>-0.789673913043478</v>
      </c>
      <c r="J7" s="19" t="n">
        <f aca="false">IFERROR('MASTER P&amp;L'!J21/'MASTER P&amp;L'!I21-1,"n/a")</f>
        <v>-0.082687338501292</v>
      </c>
    </row>
    <row r="8" customFormat="false" ht="15" hidden="false" customHeight="false" outlineLevel="0" collapsed="false">
      <c r="A8" s="18" t="s">
        <v>90</v>
      </c>
      <c r="D8" s="19" t="n">
        <f aca="false">IFERROR('MASTER P&amp;L'!D32/'MASTER P&amp;L'!C32-1,"n/a")</f>
        <v>0.446786090621707</v>
      </c>
      <c r="E8" s="19" t="n">
        <f aca="false">IFERROR('MASTER P&amp;L'!E32/'MASTER P&amp;L'!D32-1,"n/a")</f>
        <v>0.23088128186453</v>
      </c>
      <c r="F8" s="19" t="n">
        <f aca="false">IFERROR('MASTER P&amp;L'!F32/'MASTER P&amp;L'!E32-1,"n/a")</f>
        <v>0.0976331360946745</v>
      </c>
      <c r="G8" s="19" t="n">
        <f aca="false">IFERROR('MASTER P&amp;L'!G32/'MASTER P&amp;L'!F32-1,"n/a")</f>
        <v>-0.812938005390836</v>
      </c>
      <c r="H8" s="19" t="n">
        <f aca="false">IFERROR('MASTER P&amp;L'!H32/'MASTER P&amp;L'!G32-1,"n/a")</f>
        <v>3.1700288184438</v>
      </c>
      <c r="I8" s="19" t="n">
        <f aca="false">IFERROR('MASTER P&amp;L'!I32/'MASTER P&amp;L'!H32-1,"n/a")</f>
        <v>-0.965445749827229</v>
      </c>
      <c r="J8" s="19" t="n">
        <f aca="false">IFERROR('MASTER P&amp;L'!J32/'MASTER P&amp;L'!I32-1,"n/a")</f>
        <v>-1.66</v>
      </c>
    </row>
    <row r="10" customFormat="false" ht="15" hidden="false" customHeight="false" outlineLevel="0" collapsed="false">
      <c r="A10" s="3" t="s">
        <v>91</v>
      </c>
    </row>
    <row r="11" customFormat="false" ht="15" hidden="false" customHeight="false" outlineLevel="0" collapsed="false">
      <c r="A11" s="0" t="s">
        <v>92</v>
      </c>
      <c r="C11" s="19" t="n">
        <f aca="false">('MASTER P&amp;L'!J8/'MASTER P&amp;L'!C8)^(1/7)-1</f>
        <v>0.0213388304335251</v>
      </c>
    </row>
    <row r="12" customFormat="false" ht="15" hidden="false" customHeight="false" outlineLevel="0" collapsed="false">
      <c r="A12" s="0" t="s">
        <v>93</v>
      </c>
      <c r="C12" s="19" t="n">
        <f aca="false">('MASTER P&amp;L'!J32/'MASTER P&amp;L'!C32)^(1/7)-1</f>
        <v>-1.61888052745904</v>
      </c>
    </row>
    <row r="15" customFormat="false" ht="15" hidden="false" customHeight="false" outlineLevel="0" collapsed="false">
      <c r="A15" s="3" t="s">
        <v>94</v>
      </c>
    </row>
    <row r="16" customFormat="false" ht="15" hidden="false" customHeight="false" outlineLevel="0" collapsed="false">
      <c r="C16" s="20" t="n">
        <v>2016</v>
      </c>
      <c r="D16" s="20" t="n">
        <v>2017</v>
      </c>
      <c r="E16" s="20" t="n">
        <v>2018</v>
      </c>
      <c r="F16" s="20" t="n">
        <v>2019</v>
      </c>
      <c r="G16" s="20" t="n">
        <v>2020</v>
      </c>
      <c r="H16" s="20" t="n">
        <v>2021</v>
      </c>
      <c r="I16" s="20" t="n">
        <v>2022</v>
      </c>
      <c r="J16" s="20" t="n">
        <v>2023</v>
      </c>
    </row>
    <row r="17" customFormat="false" ht="15" hidden="false" customHeight="false" outlineLevel="0" collapsed="false">
      <c r="A17" s="0" t="s">
        <v>95</v>
      </c>
      <c r="C17" s="21" t="n">
        <f aca="false">ABS('MASTER P&amp;L'!C8)/ABS('MASTER P&amp;L'!$C$8)*100</f>
        <v>100</v>
      </c>
      <c r="D17" s="21" t="n">
        <f aca="false">ABS('MASTER P&amp;L'!D8)/ABS('MASTER P&amp;L'!$C$8)*100</f>
        <v>114.797381377482</v>
      </c>
      <c r="E17" s="21" t="n">
        <f aca="false">ABS('MASTER P&amp;L'!E8)/ABS('MASTER P&amp;L'!$C$8)*100</f>
        <v>118.568414218471</v>
      </c>
      <c r="F17" s="21" t="n">
        <f aca="false">ABS('MASTER P&amp;L'!F8)/ABS('MASTER P&amp;L'!$C$8)*100</f>
        <v>127.901314721636</v>
      </c>
      <c r="G17" s="21" t="n">
        <f aca="false">ABS('MASTER P&amp;L'!G8)/ABS('MASTER P&amp;L'!$C$8)*100</f>
        <v>107.36352323757</v>
      </c>
      <c r="H17" s="21" t="n">
        <f aca="false">ABS('MASTER P&amp;L'!H8)/ABS('MASTER P&amp;L'!$C$8)*100</f>
        <v>114.883947411135</v>
      </c>
      <c r="I17" s="21" t="n">
        <f aca="false">ABS('MASTER P&amp;L'!I8)/ABS('MASTER P&amp;L'!$C$8)*100</f>
        <v>121.792998972028</v>
      </c>
      <c r="J17" s="21" t="n">
        <f aca="false">ABS('MASTER P&amp;L'!J8)/ABS('MASTER P&amp;L'!$C$8)*100</f>
        <v>115.928150192068</v>
      </c>
    </row>
    <row r="18" customFormat="false" ht="15" hidden="false" customHeight="false" outlineLevel="0" collapsed="false">
      <c r="A18" s="0" t="s">
        <v>96</v>
      </c>
      <c r="C18" s="21" t="n">
        <f aca="false">ABS('MASTER P&amp;L'!C11)/ABS('MASTER P&amp;L'!$C$11)*100</f>
        <v>100</v>
      </c>
      <c r="D18" s="21" t="n">
        <f aca="false">ABS('MASTER P&amp;L'!D11)/ABS('MASTER P&amp;L'!$C$11)*100</f>
        <v>119.047088945786</v>
      </c>
      <c r="E18" s="21" t="n">
        <f aca="false">ABS('MASTER P&amp;L'!E11)/ABS('MASTER P&amp;L'!$C$11)*100</f>
        <v>125.882221974841</v>
      </c>
      <c r="F18" s="21" t="n">
        <f aca="false">ABS('MASTER P&amp;L'!F11)/ABS('MASTER P&amp;L'!$C$11)*100</f>
        <v>136.847378381387</v>
      </c>
      <c r="G18" s="21" t="n">
        <f aca="false">ABS('MASTER P&amp;L'!G11)/ABS('MASTER P&amp;L'!$C$11)*100</f>
        <v>109.785149727263</v>
      </c>
      <c r="H18" s="21" t="n">
        <f aca="false">ABS('MASTER P&amp;L'!H11)/ABS('MASTER P&amp;L'!$C$11)*100</f>
        <v>119.369920961817</v>
      </c>
      <c r="I18" s="21" t="n">
        <f aca="false">ABS('MASTER P&amp;L'!I11)/ABS('MASTER P&amp;L'!$C$11)*100</f>
        <v>118.535010575532</v>
      </c>
      <c r="J18" s="21" t="n">
        <f aca="false">ABS('MASTER P&amp;L'!J11)/ABS('MASTER P&amp;L'!$C$11)*100</f>
        <v>113.302905488144</v>
      </c>
    </row>
    <row r="19" customFormat="false" ht="15" hidden="false" customHeight="false" outlineLevel="0" collapsed="false">
      <c r="A19" s="0" t="s">
        <v>97</v>
      </c>
      <c r="C19" s="21" t="n">
        <f aca="false">ABS('MASTER P&amp;L'!C19)/ABS('MASTER P&amp;L'!$C$19)*100</f>
        <v>100</v>
      </c>
      <c r="D19" s="21" t="n">
        <f aca="false">ABS('MASTER P&amp;L'!D19)/ABS('MASTER P&amp;L'!$C$19)*100</f>
        <v>114.798553719008</v>
      </c>
      <c r="E19" s="21" t="n">
        <f aca="false">ABS('MASTER P&amp;L'!E19)/ABS('MASTER P&amp;L'!$C$19)*100</f>
        <v>118.013946280992</v>
      </c>
      <c r="F19" s="21" t="n">
        <f aca="false">ABS('MASTER P&amp;L'!F19)/ABS('MASTER P&amp;L'!$C$19)*100</f>
        <v>127.59555785124</v>
      </c>
      <c r="G19" s="21" t="n">
        <f aca="false">ABS('MASTER P&amp;L'!G19)/ABS('MASTER P&amp;L'!$C$19)*100</f>
        <v>118.892045454545</v>
      </c>
      <c r="H19" s="21" t="n">
        <f aca="false">ABS('MASTER P&amp;L'!H19)/ABS('MASTER P&amp;L'!$C$19)*100</f>
        <v>116.800103305785</v>
      </c>
      <c r="I19" s="21" t="n">
        <f aca="false">ABS('MASTER P&amp;L'!I19)/ABS('MASTER P&amp;L'!$C$19)*100</f>
        <v>132.257231404959</v>
      </c>
      <c r="J19" s="21" t="n">
        <f aca="false">ABS('MASTER P&amp;L'!J19)/ABS('MASTER P&amp;L'!$C$19)*100</f>
        <v>128.938533057851</v>
      </c>
    </row>
    <row r="21" customFormat="false" ht="15" hidden="false" customHeight="false" outlineLevel="0" collapsed="false">
      <c r="A21" s="3" t="s">
        <v>98</v>
      </c>
    </row>
    <row r="22" customFormat="false" ht="15" hidden="false" customHeight="false" outlineLevel="0" collapsed="false">
      <c r="C22" s="20" t="n">
        <v>2016</v>
      </c>
      <c r="D22" s="20" t="n">
        <v>2017</v>
      </c>
      <c r="E22" s="20" t="n">
        <v>2018</v>
      </c>
      <c r="F22" s="20" t="n">
        <v>2019</v>
      </c>
      <c r="G22" s="20" t="n">
        <v>2020</v>
      </c>
      <c r="H22" s="20" t="n">
        <v>2021</v>
      </c>
      <c r="I22" s="20" t="n">
        <v>2022</v>
      </c>
      <c r="J22" s="20" t="n">
        <v>2023</v>
      </c>
    </row>
    <row r="23" customFormat="false" ht="15" hidden="false" customHeight="false" outlineLevel="0" collapsed="false">
      <c r="A23" s="0" t="s">
        <v>28</v>
      </c>
      <c r="C23" s="19" t="n">
        <f aca="false">'MASTER P&amp;L'!C12</f>
        <v>0.486</v>
      </c>
      <c r="D23" s="19" t="n">
        <f aca="false">'MASTER P&amp;L'!D12</f>
        <v>0.504</v>
      </c>
      <c r="E23" s="19" t="n">
        <f aca="false">'MASTER P&amp;L'!E12</f>
        <v>0.516</v>
      </c>
      <c r="F23" s="19" t="n">
        <f aca="false">'MASTER P&amp;L'!F12</f>
        <v>0.52</v>
      </c>
      <c r="G23" s="19" t="n">
        <f aca="false">'MASTER P&amp;L'!G12</f>
        <v>0.497</v>
      </c>
      <c r="H23" s="19" t="n">
        <f aca="false">'MASTER P&amp;L'!H12</f>
        <v>0.505</v>
      </c>
      <c r="I23" s="19" t="n">
        <f aca="false">'MASTER P&amp;L'!I12</f>
        <v>0.473</v>
      </c>
      <c r="J23" s="19" t="n">
        <f aca="false">'MASTER P&amp;L'!J12</f>
        <v>0.475</v>
      </c>
    </row>
    <row r="24" customFormat="false" ht="15" hidden="false" customHeight="false" outlineLevel="0" collapsed="false">
      <c r="A24" s="0" t="s">
        <v>48</v>
      </c>
      <c r="C24" s="19" t="n">
        <f aca="false">'MASTER P&amp;L'!C22</f>
        <v>0.076</v>
      </c>
      <c r="D24" s="19" t="n">
        <f aca="false">'MASTER P&amp;L'!D22</f>
        <v>0.094</v>
      </c>
      <c r="E24" s="19" t="n">
        <f aca="false">'MASTER P&amp;L'!E22</f>
        <v>0.108</v>
      </c>
      <c r="F24" s="19" t="n">
        <f aca="false">'MASTER P&amp;L'!F22</f>
        <v>0.111</v>
      </c>
      <c r="G24" s="19" t="n">
        <f aca="false">'MASTER P&amp;L'!G22</f>
        <v>0.04</v>
      </c>
      <c r="H24" s="19" t="n">
        <f aca="false">'MASTER P&amp;L'!H22</f>
        <v>0.087</v>
      </c>
      <c r="I24" s="19" t="n">
        <f aca="false">'MASTER P&amp;L'!I22</f>
        <v>0.017</v>
      </c>
      <c r="J24" s="19" t="n">
        <f aca="false">'MASTER P&amp;L'!J22</f>
        <v>0.017</v>
      </c>
    </row>
    <row r="25" customFormat="false" ht="15" hidden="false" customHeight="false" outlineLevel="0" collapsed="false">
      <c r="A25" s="0" t="s">
        <v>99</v>
      </c>
      <c r="C25" s="19" t="n">
        <f aca="false">IFERROR('MASTER P&amp;L'!C32/'MASTER P&amp;L'!C8,"n/a")</f>
        <v>0.0513444787101661</v>
      </c>
      <c r="D25" s="19" t="n">
        <f aca="false">IFERROR('MASTER P&amp;L'!D32/'MASTER P&amp;L'!D8,"n/a")</f>
        <v>0.0647092091620322</v>
      </c>
      <c r="E25" s="19" t="n">
        <f aca="false">IFERROR('MASTER P&amp;L'!E32/'MASTER P&amp;L'!E8,"n/a")</f>
        <v>0.0771161305042209</v>
      </c>
      <c r="F25" s="19" t="n">
        <f aca="false">IFERROR('MASTER P&amp;L'!F32/'MASTER P&amp;L'!F8,"n/a")</f>
        <v>0.0784686971235195</v>
      </c>
      <c r="G25" s="19" t="n">
        <f aca="false">IFERROR('MASTER P&amp;L'!G32/'MASTER P&amp;L'!G8,"n/a")</f>
        <v>0.0174863938722032</v>
      </c>
      <c r="H25" s="19" t="n">
        <f aca="false">IFERROR('MASTER P&amp;L'!H32/'MASTER P&amp;L'!H8,"n/a")</f>
        <v>0.0681454271451446</v>
      </c>
      <c r="I25" s="19" t="n">
        <f aca="false">IFERROR('MASTER P&amp;L'!I32/'MASTER P&amp;L'!I8,"n/a")</f>
        <v>0.00222113633334814</v>
      </c>
      <c r="J25" s="19" t="n">
        <f aca="false">IFERROR('MASTER P&amp;L'!J32/'MASTER P&amp;L'!J8,"n/a")</f>
        <v>-0.00154011294161572</v>
      </c>
    </row>
    <row r="27" customFormat="false" ht="15" hidden="false" customHeight="false" outlineLevel="0" collapsed="false">
      <c r="A27" s="3" t="s">
        <v>100</v>
      </c>
    </row>
    <row r="28" customFormat="false" ht="15" hidden="false" customHeight="false" outlineLevel="0" collapsed="false">
      <c r="C28" s="20" t="n">
        <v>2016</v>
      </c>
      <c r="D28" s="20" t="n">
        <v>2017</v>
      </c>
      <c r="E28" s="20" t="n">
        <v>2018</v>
      </c>
      <c r="F28" s="20" t="n">
        <v>2019</v>
      </c>
      <c r="G28" s="20" t="n">
        <v>2020</v>
      </c>
      <c r="H28" s="20" t="n">
        <v>2021</v>
      </c>
      <c r="I28" s="20" t="n">
        <v>2022</v>
      </c>
      <c r="J28" s="20" t="n">
        <v>2023</v>
      </c>
    </row>
    <row r="29" customFormat="false" ht="15" hidden="false" customHeight="false" outlineLevel="0" collapsed="false">
      <c r="A29" s="0" t="s">
        <v>101</v>
      </c>
      <c r="C29" s="19" t="n">
        <f aca="false">ABS('MASTER P&amp;L'!C15)/'MASTER P&amp;L'!C8</f>
        <v>0.136990748255153</v>
      </c>
      <c r="D29" s="19" t="n">
        <f aca="false">ABS('MASTER P&amp;L'!D15)/'MASTER P&amp;L'!D8</f>
        <v>0.133990008483363</v>
      </c>
      <c r="E29" s="19" t="n">
        <f aca="false">ABS('MASTER P&amp;L'!E15)/'MASTER P&amp;L'!E8</f>
        <v>0.131006160164271</v>
      </c>
      <c r="F29" s="19" t="n">
        <f aca="false">ABS('MASTER P&amp;L'!F15)/'MASTER P&amp;L'!F8</f>
        <v>0.128003384094755</v>
      </c>
      <c r="G29" s="19" t="n">
        <f aca="false">ABS('MASTER P&amp;L'!G15)/'MASTER P&amp;L'!G8</f>
        <v>0.118978028623261</v>
      </c>
      <c r="H29" s="19" t="n">
        <f aca="false">ABS('MASTER P&amp;L'!H15)/'MASTER P&amp;L'!H8</f>
        <v>0.120985212395215</v>
      </c>
      <c r="I29" s="19" t="n">
        <f aca="false">ABS('MASTER P&amp;L'!I15)/'MASTER P&amp;L'!I8</f>
        <v>0.123983830127493</v>
      </c>
      <c r="J29" s="19" t="n">
        <f aca="false">ABS('MASTER P&amp;L'!J15)/'MASTER P&amp;L'!J8</f>
        <v>0.123022354972698</v>
      </c>
    </row>
    <row r="30" customFormat="false" ht="15" hidden="false" customHeight="false" outlineLevel="0" collapsed="false">
      <c r="A30" s="0" t="s">
        <v>102</v>
      </c>
      <c r="C30" s="19" t="n">
        <f aca="false">ABS('MASTER P&amp;L'!C16)/'MASTER P&amp;L'!C8</f>
        <v>0.217984093491316</v>
      </c>
      <c r="D30" s="19" t="n">
        <f aca="false">ABS('MASTER P&amp;L'!D16)/'MASTER P&amp;L'!D8</f>
        <v>0.221981336600999</v>
      </c>
      <c r="E30" s="19" t="n">
        <f aca="false">ABS('MASTER P&amp;L'!E16)/'MASTER P&amp;L'!E8</f>
        <v>0.224001825233858</v>
      </c>
      <c r="F30" s="19" t="n">
        <f aca="false">ABS('MASTER P&amp;L'!F16)/'MASTER P&amp;L'!F8</f>
        <v>0.223011844331641</v>
      </c>
      <c r="G30" s="19" t="n">
        <f aca="false">ABS('MASTER P&amp;L'!G16)/'MASTER P&amp;L'!G8</f>
        <v>0.27000604716791</v>
      </c>
      <c r="H30" s="19" t="n">
        <f aca="false">ABS('MASTER P&amp;L'!H16)/'MASTER P&amp;L'!H8</f>
        <v>0.234011491004992</v>
      </c>
      <c r="I30" s="19" t="n">
        <f aca="false">ABS('MASTER P&amp;L'!I16)/'MASTER P&amp;L'!I8</f>
        <v>0.242992314868287</v>
      </c>
      <c r="J30" s="19" t="n">
        <f aca="false">ABS('MASTER P&amp;L'!J16)/'MASTER P&amp;L'!J8</f>
        <v>0.257992252765203</v>
      </c>
    </row>
    <row r="31" customFormat="false" ht="15" hidden="false" customHeight="false" outlineLevel="0" collapsed="false">
      <c r="A31" s="0" t="s">
        <v>103</v>
      </c>
      <c r="C31" s="19" t="n">
        <f aca="false">ABS('MASTER P&amp;L'!C17)/'MASTER P&amp;L'!C8</f>
        <v>0.0539955634907753</v>
      </c>
      <c r="D31" s="19" t="n">
        <f aca="false">ABS('MASTER P&amp;L'!D17)/'MASTER P&amp;L'!D8</f>
        <v>0.0530210198887737</v>
      </c>
      <c r="E31" s="19" t="n">
        <f aca="false">ABS('MASTER P&amp;L'!E17)/'MASTER P&amp;L'!E8</f>
        <v>0.0520191649555099</v>
      </c>
      <c r="F31" s="19" t="n">
        <f aca="false">ABS('MASTER P&amp;L'!F17)/'MASTER P&amp;L'!F8</f>
        <v>0.0569796954314721</v>
      </c>
      <c r="G31" s="19" t="n">
        <f aca="false">ABS('MASTER P&amp;L'!G17)/'MASTER P&amp;L'!G8</f>
        <v>0.065007055029228</v>
      </c>
      <c r="H31" s="19" t="n">
        <f aca="false">ABS('MASTER P&amp;L'!H17)/'MASTER P&amp;L'!H8</f>
        <v>0.0609870961665254</v>
      </c>
      <c r="I31" s="19" t="n">
        <f aca="false">ABS('MASTER P&amp;L'!I17)/'MASTER P&amp;L'!I8</f>
        <v>0.0780063080271867</v>
      </c>
      <c r="J31" s="19" t="n">
        <f aca="false">ABS('MASTER P&amp;L'!J17)/'MASTER P&amp;L'!J8</f>
        <v>0.0729920194147571</v>
      </c>
    </row>
    <row r="32" customFormat="false" ht="15" hidden="false" customHeight="false" outlineLevel="0" collapsed="false">
      <c r="A32" s="0" t="s">
        <v>104</v>
      </c>
      <c r="C32" s="19" t="n">
        <f aca="false">ABS('MASTER P&amp;L'!C18)/'MASTER P&amp;L'!C8</f>
        <v>0.0100091976410756</v>
      </c>
      <c r="D32" s="19" t="n">
        <f aca="false">ABS('MASTER P&amp;L'!D18)/'MASTER P&amp;L'!D8</f>
        <v>0.0099915166368178</v>
      </c>
      <c r="E32" s="19" t="n">
        <f aca="false">ABS('MASTER P&amp;L'!E18)/'MASTER P&amp;L'!E8</f>
        <v>0.00999315537303217</v>
      </c>
      <c r="F32" s="19" t="n">
        <f aca="false">ABS('MASTER P&amp;L'!F18)/'MASTER P&amp;L'!F8</f>
        <v>0.00998307952622674</v>
      </c>
      <c r="G32" s="19" t="n">
        <f aca="false">ABS('MASTER P&amp;L'!G18)/'MASTER P&amp;L'!G8</f>
        <v>0.00997782705099778</v>
      </c>
      <c r="H32" s="19" t="n">
        <f aca="false">ABS('MASTER P&amp;L'!H18)/'MASTER P&amp;L'!H8</f>
        <v>0.00998398794386362</v>
      </c>
      <c r="I32" s="19" t="n">
        <f aca="false">ABS('MASTER P&amp;L'!I18)/'MASTER P&amp;L'!I8</f>
        <v>0.00999511350006663</v>
      </c>
      <c r="J32" s="19" t="n">
        <f aca="false">ABS('MASTER P&amp;L'!J18)/'MASTER P&amp;L'!J8</f>
        <v>0.0119942129089467</v>
      </c>
    </row>
    <row r="34" customFormat="false" ht="15" hidden="false" customHeight="false" outlineLevel="0" collapsed="false">
      <c r="A34" s="3" t="s">
        <v>58</v>
      </c>
    </row>
    <row r="35" customFormat="false" ht="15" hidden="false" customHeight="false" outlineLevel="0" collapsed="false">
      <c r="C35" s="19" t="n">
        <f aca="false">IFERROR(-'MASTER P&amp;L'!C26/'MASTER P&amp;L'!C25,"n/a")</f>
        <v>0.289726533628973</v>
      </c>
      <c r="D35" s="19" t="n">
        <f aca="false">IFERROR(-'MASTER P&amp;L'!D26/'MASTER P&amp;L'!D25,"n/a")</f>
        <v>0.280228334198236</v>
      </c>
      <c r="E35" s="19" t="n">
        <f aca="false">IFERROR(-'MASTER P&amp;L'!E26/'MASTER P&amp;L'!E25,"n/a")</f>
        <v>0.259791122715405</v>
      </c>
      <c r="F35" s="19" t="n">
        <f aca="false">IFERROR(-'MASTER P&amp;L'!F26/'MASTER P&amp;L'!F25,"n/a")</f>
        <v>0.250201126307321</v>
      </c>
      <c r="G35" s="19" t="n">
        <f aca="false">IFERROR(-'MASTER P&amp;L'!G26/'MASTER P&amp;L'!G25,"n/a")</f>
        <v>0.350230414746544</v>
      </c>
      <c r="H35" s="19" t="n">
        <f aca="false">IFERROR(-'MASTER P&amp;L'!H26/'MASTER P&amp;L'!H25,"n/a")</f>
        <v>0.279740871613663</v>
      </c>
      <c r="I35" s="19" t="n">
        <f aca="false">IFERROR(-'MASTER P&amp;L'!I26/'MASTER P&amp;L'!I25,"n/a")</f>
        <v>0.75</v>
      </c>
      <c r="J35" s="19" t="n">
        <f aca="false">IFERROR(-'MASTER P&amp;L'!J26/'MASTER P&amp;L'!J25,"n/a")</f>
        <v>1.14857142857143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7" t="s">
        <v>105</v>
      </c>
    </row>
    <row r="3" customFormat="false" ht="15" hidden="false" customHeight="false" outlineLevel="0" collapsed="false">
      <c r="A3" s="3" t="s">
        <v>106</v>
      </c>
    </row>
    <row r="4" customFormat="false" ht="15" hidden="false" customHeight="false" outlineLevel="0" collapsed="false">
      <c r="A4" s="10" t="s">
        <v>107</v>
      </c>
      <c r="B4" s="10" t="n">
        <v>2016</v>
      </c>
      <c r="C4" s="10" t="n">
        <v>2017</v>
      </c>
      <c r="D4" s="10" t="n">
        <v>2018</v>
      </c>
      <c r="E4" s="10" t="n">
        <v>2019</v>
      </c>
      <c r="F4" s="10" t="n">
        <v>2020</v>
      </c>
      <c r="G4" s="10" t="n">
        <v>2021</v>
      </c>
      <c r="H4" s="10" t="n">
        <v>2022</v>
      </c>
      <c r="I4" s="10" t="n">
        <v>2023</v>
      </c>
    </row>
    <row r="5" customFormat="false" ht="15" hidden="false" customHeight="false" outlineLevel="0" collapsed="false">
      <c r="A5" s="0" t="s">
        <v>108</v>
      </c>
      <c r="B5" s="22" t="n">
        <v>5452</v>
      </c>
      <c r="C5" s="22" t="n">
        <v>5856</v>
      </c>
      <c r="D5" s="22" t="n">
        <v>5764</v>
      </c>
      <c r="E5" s="22" t="n">
        <v>5957</v>
      </c>
      <c r="F5" s="22"/>
      <c r="G5" s="22"/>
      <c r="H5" s="22"/>
      <c r="I5" s="22"/>
    </row>
    <row r="6" customFormat="false" ht="15" hidden="false" customHeight="false" outlineLevel="0" collapsed="false">
      <c r="A6" s="0" t="s">
        <v>109</v>
      </c>
      <c r="B6" s="22" t="n">
        <v>3068</v>
      </c>
      <c r="C6" s="22" t="n">
        <v>3947</v>
      </c>
      <c r="D6" s="22" t="n">
        <v>4361</v>
      </c>
      <c r="E6" s="22" t="n">
        <v>4917</v>
      </c>
      <c r="F6" s="22"/>
      <c r="G6" s="22"/>
      <c r="H6" s="22"/>
      <c r="I6" s="22"/>
    </row>
    <row r="7" customFormat="false" ht="15" hidden="false" customHeight="false" outlineLevel="0" collapsed="false">
      <c r="A7" s="0" t="s">
        <v>110</v>
      </c>
      <c r="B7" s="22" t="n">
        <v>2976</v>
      </c>
      <c r="C7" s="22" t="n">
        <v>3756</v>
      </c>
      <c r="D7" s="22" t="n">
        <v>4164</v>
      </c>
      <c r="E7" s="22" t="n">
        <v>4728</v>
      </c>
      <c r="F7" s="22"/>
      <c r="G7" s="22"/>
      <c r="H7" s="22"/>
      <c r="I7" s="22"/>
    </row>
    <row r="8" customFormat="false" ht="15" hidden="false" customHeight="false" outlineLevel="0" collapsed="false">
      <c r="A8" s="0" t="s">
        <v>111</v>
      </c>
      <c r="B8" s="22" t="n">
        <v>721</v>
      </c>
      <c r="C8" s="22" t="n">
        <v>700</v>
      </c>
      <c r="D8" s="22" t="n">
        <v>679</v>
      </c>
      <c r="E8" s="22" t="n">
        <v>686</v>
      </c>
      <c r="F8" s="22"/>
      <c r="G8" s="22"/>
      <c r="H8" s="22"/>
      <c r="I8" s="22"/>
    </row>
    <row r="9" customFormat="false" ht="15" hidden="false" customHeight="false" outlineLevel="0" collapsed="false">
      <c r="A9" s="0" t="s">
        <v>112</v>
      </c>
      <c r="B9" s="22" t="n">
        <v>1645</v>
      </c>
      <c r="C9" s="22" t="n">
        <v>1740</v>
      </c>
      <c r="D9" s="22" t="n">
        <v>1688</v>
      </c>
      <c r="E9" s="22" t="n">
        <v>1726</v>
      </c>
      <c r="F9" s="22"/>
      <c r="G9" s="22"/>
      <c r="H9" s="22"/>
      <c r="I9" s="22"/>
    </row>
    <row r="10" customFormat="false" ht="15" hidden="false" customHeight="false" outlineLevel="0" collapsed="false">
      <c r="A10" s="0" t="s">
        <v>113</v>
      </c>
      <c r="B10" s="22" t="n">
        <v>2421</v>
      </c>
      <c r="C10" s="22" t="n">
        <v>2716</v>
      </c>
      <c r="D10" s="22" t="n">
        <v>2761</v>
      </c>
      <c r="E10" s="22" t="n">
        <v>2931</v>
      </c>
      <c r="F10" s="22"/>
      <c r="G10" s="22"/>
      <c r="H10" s="22"/>
      <c r="I10" s="22"/>
    </row>
    <row r="11" customFormat="false" ht="15" hidden="false" customHeight="false" outlineLevel="0" collapsed="false">
      <c r="A11" s="0" t="s">
        <v>114</v>
      </c>
      <c r="B11" s="22" t="n">
        <v>1220</v>
      </c>
      <c r="C11" s="22" t="n">
        <v>1400</v>
      </c>
      <c r="D11" s="22" t="n">
        <v>1512</v>
      </c>
      <c r="E11" s="22" t="n">
        <v>1726</v>
      </c>
      <c r="F11" s="22"/>
      <c r="G11" s="22"/>
      <c r="H11" s="22"/>
      <c r="I11" s="22"/>
    </row>
    <row r="12" customFormat="false" ht="15" hidden="false" customHeight="false" outlineLevel="0" collapsed="false">
      <c r="A12" s="0" t="s">
        <v>115</v>
      </c>
      <c r="B12" s="22" t="n">
        <v>980</v>
      </c>
      <c r="C12" s="22" t="n">
        <v>1103</v>
      </c>
      <c r="D12" s="22" t="n">
        <v>986</v>
      </c>
      <c r="E12" s="22" t="n">
        <v>969</v>
      </c>
      <c r="F12" s="22"/>
      <c r="G12" s="22"/>
      <c r="H12" s="22"/>
      <c r="I12" s="22"/>
    </row>
    <row r="13" customFormat="false" ht="15" hidden="false" customHeight="false" outlineLevel="0" collapsed="false">
      <c r="A13" s="0" t="s">
        <v>116</v>
      </c>
      <c r="B13" s="22"/>
      <c r="C13" s="22"/>
      <c r="D13" s="22"/>
      <c r="E13" s="22"/>
      <c r="F13" s="22" t="n">
        <v>7005</v>
      </c>
      <c r="G13" s="22" t="n">
        <v>7432</v>
      </c>
      <c r="H13" s="22" t="n">
        <v>7879</v>
      </c>
      <c r="I13" s="22" t="n">
        <v>7585</v>
      </c>
    </row>
    <row r="14" customFormat="false" ht="15" hidden="false" customHeight="false" outlineLevel="0" collapsed="false">
      <c r="A14" s="0" t="s">
        <v>117</v>
      </c>
      <c r="B14" s="22"/>
      <c r="C14" s="22"/>
      <c r="D14" s="22"/>
      <c r="E14" s="22"/>
      <c r="F14" s="22" t="n">
        <v>4127</v>
      </c>
      <c r="G14" s="22" t="n">
        <v>5330</v>
      </c>
      <c r="H14" s="22" t="n">
        <v>5921</v>
      </c>
      <c r="I14" s="22" t="n">
        <v>5142</v>
      </c>
    </row>
    <row r="15" customFormat="false" ht="15" hidden="false" customHeight="false" outlineLevel="0" collapsed="false">
      <c r="A15" s="0" t="s">
        <v>118</v>
      </c>
      <c r="B15" s="22"/>
      <c r="C15" s="22"/>
      <c r="D15" s="22"/>
      <c r="E15" s="22"/>
      <c r="F15" s="22" t="n">
        <v>4346</v>
      </c>
      <c r="G15" s="22" t="n">
        <v>4247</v>
      </c>
      <c r="H15" s="22" t="n">
        <v>3534</v>
      </c>
      <c r="I15" s="22" t="n">
        <v>3257</v>
      </c>
    </row>
    <row r="16" customFormat="false" ht="15" hidden="false" customHeight="false" outlineLevel="0" collapsed="false">
      <c r="A16" s="0" t="s">
        <v>119</v>
      </c>
      <c r="B16" s="22"/>
      <c r="C16" s="22"/>
      <c r="D16" s="22"/>
      <c r="E16" s="22"/>
      <c r="F16" s="22" t="n">
        <v>2342</v>
      </c>
      <c r="G16" s="22" t="n">
        <v>2060</v>
      </c>
      <c r="H16" s="22" t="n">
        <v>2656</v>
      </c>
      <c r="I16" s="22" t="n">
        <v>2807</v>
      </c>
    </row>
    <row r="17" customFormat="false" ht="15" hidden="false" customHeight="false" outlineLevel="0" collapsed="false">
      <c r="A17" s="0" t="s">
        <v>120</v>
      </c>
      <c r="B17" s="22"/>
      <c r="C17" s="22"/>
      <c r="D17" s="22"/>
      <c r="E17" s="22"/>
      <c r="F17" s="22" t="n">
        <v>1310</v>
      </c>
      <c r="G17" s="22" t="n">
        <v>1507</v>
      </c>
      <c r="H17" s="22" t="n">
        <v>1891</v>
      </c>
      <c r="I17" s="22" t="n">
        <v>2057</v>
      </c>
    </row>
    <row r="18" customFormat="false" ht="15" hidden="false" customHeight="false" outlineLevel="0" collapsed="false">
      <c r="A18" s="0" t="s">
        <v>121</v>
      </c>
      <c r="B18" s="22"/>
      <c r="C18" s="22"/>
      <c r="D18" s="22"/>
      <c r="E18" s="22"/>
      <c r="F18" s="22" t="n">
        <v>714</v>
      </c>
      <c r="G18" s="22" t="n">
        <v>658</v>
      </c>
      <c r="H18" s="22" t="n">
        <v>630</v>
      </c>
      <c r="I18" s="22" t="n">
        <v>579</v>
      </c>
    </row>
    <row r="20" customFormat="false" ht="15" hidden="false" customHeight="false" outlineLevel="0" collapsed="false">
      <c r="A20" s="3" t="s">
        <v>122</v>
      </c>
    </row>
    <row r="21" customFormat="false" ht="15" hidden="false" customHeight="false" outlineLevel="0" collapsed="false">
      <c r="A21" s="10" t="s">
        <v>123</v>
      </c>
      <c r="B21" s="10" t="n">
        <v>2016</v>
      </c>
      <c r="C21" s="10" t="n">
        <v>2017</v>
      </c>
      <c r="D21" s="10" t="n">
        <v>2018</v>
      </c>
      <c r="E21" s="10" t="n">
        <v>2019</v>
      </c>
      <c r="F21" s="10" t="n">
        <v>2020</v>
      </c>
      <c r="G21" s="10" t="n">
        <v>2021</v>
      </c>
      <c r="H21" s="10" t="n">
        <v>2022</v>
      </c>
      <c r="I21" s="10" t="n">
        <v>2023</v>
      </c>
    </row>
    <row r="22" customFormat="false" ht="15" hidden="false" customHeight="false" outlineLevel="0" collapsed="false">
      <c r="A22" s="0" t="s">
        <v>116</v>
      </c>
      <c r="B22" s="22" t="n">
        <f aca="false">SUM(B5,B8,B11,B13)</f>
        <v>7393</v>
      </c>
      <c r="C22" s="22" t="n">
        <f aca="false">SUM(C5,C8,C11,C13)</f>
        <v>7956</v>
      </c>
      <c r="D22" s="22" t="n">
        <f aca="false">SUM(D5,D8,D11,D13)</f>
        <v>7955</v>
      </c>
      <c r="E22" s="22" t="n">
        <f aca="false">SUM(E5,E8,E11,E13)</f>
        <v>8369</v>
      </c>
      <c r="F22" s="22" t="n">
        <f aca="false">SUM(F5,F8,F11,F13)</f>
        <v>7005</v>
      </c>
      <c r="G22" s="22" t="n">
        <f aca="false">SUM(G5,G8,G11,G13)</f>
        <v>7432</v>
      </c>
      <c r="H22" s="22" t="n">
        <f aca="false">SUM(H5,H8,H11,H13)</f>
        <v>7879</v>
      </c>
      <c r="I22" s="22" t="n">
        <f aca="false">SUM(I5,I8,I11,I13)</f>
        <v>7585</v>
      </c>
    </row>
    <row r="23" customFormat="false" ht="15" hidden="false" customHeight="false" outlineLevel="0" collapsed="false">
      <c r="A23" s="0" t="s">
        <v>124</v>
      </c>
      <c r="B23" s="22" t="n">
        <f aca="false">SUM(B6,B14)</f>
        <v>3068</v>
      </c>
      <c r="C23" s="22" t="n">
        <f aca="false">SUM(C6,C14)</f>
        <v>3947</v>
      </c>
      <c r="D23" s="22" t="n">
        <f aca="false">SUM(D6,D14)</f>
        <v>4361</v>
      </c>
      <c r="E23" s="22" t="n">
        <f aca="false">SUM(E6,E14)</f>
        <v>4917</v>
      </c>
      <c r="F23" s="22" t="n">
        <f aca="false">SUM(F6,F14)</f>
        <v>4127</v>
      </c>
      <c r="G23" s="22" t="n">
        <f aca="false">SUM(G6,G14)</f>
        <v>5330</v>
      </c>
      <c r="H23" s="22" t="n">
        <f aca="false">SUM(H6,H14)</f>
        <v>5921</v>
      </c>
      <c r="I23" s="22" t="n">
        <f aca="false">SUM(I6,I14)</f>
        <v>5142</v>
      </c>
    </row>
    <row r="24" customFormat="false" ht="15" hidden="false" customHeight="false" outlineLevel="0" collapsed="false">
      <c r="A24" s="0" t="s">
        <v>125</v>
      </c>
      <c r="B24" s="22" t="n">
        <f aca="false">SUM(B7,B15)</f>
        <v>2976</v>
      </c>
      <c r="C24" s="22" t="n">
        <f aca="false">SUM(C7,C15)</f>
        <v>3756</v>
      </c>
      <c r="D24" s="22" t="n">
        <f aca="false">SUM(D7,D15)</f>
        <v>4164</v>
      </c>
      <c r="E24" s="22" t="n">
        <f aca="false">SUM(E7,E15)</f>
        <v>4728</v>
      </c>
      <c r="F24" s="22" t="n">
        <f aca="false">SUM(F7,F15)</f>
        <v>4346</v>
      </c>
      <c r="G24" s="22" t="n">
        <f aca="false">SUM(G7,G15)</f>
        <v>4247</v>
      </c>
      <c r="H24" s="22" t="n">
        <f aca="false">SUM(H7,H15)</f>
        <v>3534</v>
      </c>
      <c r="I24" s="22" t="n">
        <f aca="false">SUM(I7,I15)</f>
        <v>3257</v>
      </c>
    </row>
    <row r="25" customFormat="false" ht="15" hidden="false" customHeight="false" outlineLevel="0" collapsed="false">
      <c r="A25" s="0" t="s">
        <v>119</v>
      </c>
      <c r="B25" s="22" t="n">
        <f aca="false">SUM(B10,B16)</f>
        <v>2421</v>
      </c>
      <c r="C25" s="22" t="n">
        <f aca="false">SUM(C10,C16)</f>
        <v>2716</v>
      </c>
      <c r="D25" s="22" t="n">
        <f aca="false">SUM(D10,D16)</f>
        <v>2761</v>
      </c>
      <c r="E25" s="22" t="n">
        <f aca="false">SUM(E10,E16)</f>
        <v>2931</v>
      </c>
      <c r="F25" s="22" t="n">
        <f aca="false">SUM(F10,F16)</f>
        <v>2342</v>
      </c>
      <c r="G25" s="22" t="n">
        <f aca="false">SUM(G10,G16)</f>
        <v>2060</v>
      </c>
      <c r="H25" s="22" t="n">
        <f aca="false">SUM(H10,H16)</f>
        <v>2656</v>
      </c>
      <c r="I25" s="22" t="n">
        <f aca="false">SUM(I10,I16)</f>
        <v>2807</v>
      </c>
    </row>
    <row r="26" customFormat="false" ht="15" hidden="false" customHeight="false" outlineLevel="0" collapsed="false">
      <c r="A26" s="0" t="s">
        <v>126</v>
      </c>
      <c r="B26" s="22" t="n">
        <f aca="false">SUM(B9,B17)</f>
        <v>1645</v>
      </c>
      <c r="C26" s="22" t="n">
        <f aca="false">SUM(C9,C17)</f>
        <v>1740</v>
      </c>
      <c r="D26" s="22" t="n">
        <f aca="false">SUM(D9,D17)</f>
        <v>1688</v>
      </c>
      <c r="E26" s="22" t="n">
        <f aca="false">SUM(E9,E17)</f>
        <v>1726</v>
      </c>
      <c r="F26" s="22" t="n">
        <f aca="false">SUM(F9,F17)</f>
        <v>1310</v>
      </c>
      <c r="G26" s="22" t="n">
        <f aca="false">SUM(G9,G17)</f>
        <v>1507</v>
      </c>
      <c r="H26" s="22" t="n">
        <f aca="false">SUM(H9,H17)</f>
        <v>1891</v>
      </c>
      <c r="I26" s="22" t="n">
        <f aca="false">SUM(I9,I17)</f>
        <v>2057</v>
      </c>
    </row>
    <row r="27" customFormat="false" ht="15" hidden="false" customHeight="false" outlineLevel="0" collapsed="false">
      <c r="A27" s="0" t="s">
        <v>18</v>
      </c>
      <c r="B27" s="22" t="n">
        <f aca="false">SUM(B12,B18)</f>
        <v>980</v>
      </c>
      <c r="C27" s="22" t="n">
        <f aca="false">SUM(C12,C18)</f>
        <v>1103</v>
      </c>
      <c r="D27" s="22" t="n">
        <f aca="false">SUM(D12,D18)</f>
        <v>986</v>
      </c>
      <c r="E27" s="22" t="n">
        <f aca="false">SUM(E12,E18)</f>
        <v>969</v>
      </c>
      <c r="F27" s="22" t="n">
        <f aca="false">SUM(F12,F18)</f>
        <v>714</v>
      </c>
      <c r="G27" s="22" t="n">
        <f aca="false">SUM(G12,G18)</f>
        <v>658</v>
      </c>
      <c r="H27" s="22" t="n">
        <f aca="false">SUM(H12,H18)</f>
        <v>630</v>
      </c>
      <c r="I27" s="22" t="n">
        <f aca="false">SUM(I12,I18)</f>
        <v>579</v>
      </c>
    </row>
    <row r="28" customFormat="false" ht="15" hidden="false" customHeight="false" outlineLevel="0" collapsed="false">
      <c r="A28" s="3" t="s">
        <v>127</v>
      </c>
      <c r="B28" s="23" t="n">
        <f aca="false">SUM(B22:B27)</f>
        <v>18483</v>
      </c>
      <c r="C28" s="23" t="n">
        <f aca="false">SUM(C22:C27)</f>
        <v>21218</v>
      </c>
      <c r="D28" s="23" t="n">
        <f aca="false">SUM(D22:D27)</f>
        <v>21915</v>
      </c>
      <c r="E28" s="23" t="n">
        <f aca="false">SUM(E22:E27)</f>
        <v>23640</v>
      </c>
      <c r="F28" s="23" t="n">
        <f aca="false">SUM(F22:F27)</f>
        <v>19844</v>
      </c>
      <c r="G28" s="23" t="n">
        <f aca="false">SUM(G22:G27)</f>
        <v>21234</v>
      </c>
      <c r="H28" s="23" t="n">
        <f aca="false">SUM(H22:H27)</f>
        <v>22511</v>
      </c>
      <c r="I28" s="23" t="n">
        <f aca="false">SUM(I22:I27)</f>
        <v>21427</v>
      </c>
    </row>
    <row r="30" customFormat="false" ht="116.4" hidden="false" customHeight="false" outlineLevel="0" collapsed="false">
      <c r="A30" s="2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0" t="s">
        <v>129</v>
      </c>
      <c r="B1" s="10" t="s">
        <v>130</v>
      </c>
      <c r="C1" s="10" t="s">
        <v>131</v>
      </c>
      <c r="D1" s="10" t="s">
        <v>132</v>
      </c>
      <c r="E1" s="10" t="s">
        <v>133</v>
      </c>
      <c r="F1" s="10" t="s">
        <v>134</v>
      </c>
      <c r="G1" s="10" t="s">
        <v>135</v>
      </c>
      <c r="H1" s="10" t="s">
        <v>136</v>
      </c>
    </row>
    <row r="2" customFormat="false" ht="15" hidden="false" customHeight="false" outlineLevel="0" collapsed="false">
      <c r="A2" s="0" t="s">
        <v>25</v>
      </c>
      <c r="B2" s="0" t="s">
        <v>24</v>
      </c>
      <c r="C2" s="0" t="n">
        <v>2016</v>
      </c>
      <c r="D2" s="0" t="n">
        <v>-9500</v>
      </c>
      <c r="E2" s="0" t="s">
        <v>137</v>
      </c>
      <c r="F2" s="25" t="b">
        <f aca="false">FALSE()</f>
        <v>0</v>
      </c>
      <c r="G2" s="25" t="b">
        <f aca="false">FALSE()</f>
        <v>0</v>
      </c>
      <c r="H2" s="0" t="s">
        <v>138</v>
      </c>
    </row>
    <row r="3" customFormat="false" ht="15" hidden="false" customHeight="false" outlineLevel="0" collapsed="false">
      <c r="A3" s="0" t="s">
        <v>25</v>
      </c>
      <c r="B3" s="0" t="s">
        <v>24</v>
      </c>
      <c r="C3" s="0" t="n">
        <v>2017</v>
      </c>
      <c r="D3" s="0" t="n">
        <v>-10524</v>
      </c>
      <c r="E3" s="0" t="s">
        <v>137</v>
      </c>
      <c r="F3" s="25" t="b">
        <f aca="false">FALSE()</f>
        <v>0</v>
      </c>
      <c r="G3" s="25" t="b">
        <f aca="false">FALSE()</f>
        <v>0</v>
      </c>
      <c r="H3" s="0" t="s">
        <v>139</v>
      </c>
    </row>
    <row r="4" customFormat="false" ht="15" hidden="false" customHeight="false" outlineLevel="0" collapsed="false">
      <c r="A4" s="0" t="s">
        <v>25</v>
      </c>
      <c r="B4" s="0" t="s">
        <v>24</v>
      </c>
      <c r="C4" s="0" t="n">
        <v>2018</v>
      </c>
      <c r="D4" s="0" t="n">
        <v>-10607</v>
      </c>
      <c r="E4" s="0" t="s">
        <v>137</v>
      </c>
      <c r="F4" s="25" t="b">
        <f aca="false">FALSE()</f>
        <v>0</v>
      </c>
      <c r="G4" s="25" t="b">
        <f aca="false">FALSE()</f>
        <v>0</v>
      </c>
      <c r="H4" s="0" t="s">
        <v>140</v>
      </c>
    </row>
    <row r="5" customFormat="false" ht="15" hidden="false" customHeight="false" outlineLevel="0" collapsed="false">
      <c r="A5" s="0" t="s">
        <v>25</v>
      </c>
      <c r="B5" s="0" t="s">
        <v>24</v>
      </c>
      <c r="C5" s="0" t="n">
        <v>2019</v>
      </c>
      <c r="D5" s="0" t="n">
        <v>-11347</v>
      </c>
      <c r="E5" s="0" t="s">
        <v>137</v>
      </c>
      <c r="F5" s="25" t="b">
        <f aca="false">FALSE()</f>
        <v>0</v>
      </c>
      <c r="G5" s="25" t="b">
        <f aca="false">FALSE()</f>
        <v>0</v>
      </c>
      <c r="H5" s="0" t="s">
        <v>141</v>
      </c>
    </row>
    <row r="6" customFormat="false" ht="15" hidden="false" customHeight="false" outlineLevel="0" collapsed="false">
      <c r="A6" s="0" t="s">
        <v>25</v>
      </c>
      <c r="B6" s="0" t="s">
        <v>24</v>
      </c>
      <c r="C6" s="0" t="n">
        <v>2020</v>
      </c>
      <c r="D6" s="0" t="n">
        <v>-9982</v>
      </c>
      <c r="E6" s="0" t="s">
        <v>137</v>
      </c>
      <c r="F6" s="25" t="b">
        <f aca="false">FALSE()</f>
        <v>0</v>
      </c>
      <c r="G6" s="25" t="b">
        <f aca="false">FALSE()</f>
        <v>0</v>
      </c>
      <c r="H6" s="0" t="s">
        <v>142</v>
      </c>
    </row>
    <row r="7" customFormat="false" ht="15" hidden="false" customHeight="false" outlineLevel="0" collapsed="false">
      <c r="A7" s="0" t="s">
        <v>25</v>
      </c>
      <c r="B7" s="0" t="s">
        <v>24</v>
      </c>
      <c r="C7" s="0" t="n">
        <v>2021</v>
      </c>
      <c r="D7" s="0" t="n">
        <v>-10511</v>
      </c>
      <c r="E7" s="0" t="s">
        <v>137</v>
      </c>
      <c r="F7" s="25" t="b">
        <f aca="false">FALSE()</f>
        <v>0</v>
      </c>
      <c r="G7" s="25" t="b">
        <f aca="false">FALSE()</f>
        <v>0</v>
      </c>
      <c r="H7" s="0" t="s">
        <v>143</v>
      </c>
    </row>
    <row r="8" customFormat="false" ht="15" hidden="false" customHeight="false" outlineLevel="0" collapsed="false">
      <c r="A8" s="0" t="s">
        <v>25</v>
      </c>
      <c r="B8" s="0" t="s">
        <v>24</v>
      </c>
      <c r="C8" s="0" t="n">
        <v>2022</v>
      </c>
      <c r="D8" s="0" t="n">
        <v>-11863</v>
      </c>
      <c r="E8" s="0" t="s">
        <v>137</v>
      </c>
      <c r="F8" s="25" t="b">
        <f aca="false">FALSE()</f>
        <v>0</v>
      </c>
      <c r="G8" s="25" t="b">
        <f aca="false">FALSE()</f>
        <v>0</v>
      </c>
      <c r="H8" s="0" t="s">
        <v>144</v>
      </c>
    </row>
    <row r="9" customFormat="false" ht="15" hidden="false" customHeight="false" outlineLevel="0" collapsed="false">
      <c r="A9" s="0" t="s">
        <v>25</v>
      </c>
      <c r="B9" s="0" t="s">
        <v>24</v>
      </c>
      <c r="C9" s="0" t="n">
        <v>2023</v>
      </c>
      <c r="D9" s="0" t="n">
        <v>-11249</v>
      </c>
      <c r="E9" s="0" t="s">
        <v>137</v>
      </c>
      <c r="F9" s="25" t="b">
        <f aca="false">FALSE()</f>
        <v>0</v>
      </c>
      <c r="G9" s="25" t="b">
        <f aca="false">FALSE()</f>
        <v>0</v>
      </c>
      <c r="H9" s="0" t="s">
        <v>145</v>
      </c>
    </row>
    <row r="10" customFormat="false" ht="15" hidden="false" customHeight="false" outlineLevel="0" collapsed="false">
      <c r="A10" s="0" t="s">
        <v>37</v>
      </c>
      <c r="B10" s="0" t="s">
        <v>36</v>
      </c>
      <c r="C10" s="0" t="n">
        <v>2016</v>
      </c>
      <c r="D10" s="0" t="n">
        <v>-4029</v>
      </c>
      <c r="E10" s="0" t="s">
        <v>146</v>
      </c>
      <c r="F10" s="25" t="b">
        <f aca="false">FALSE()</f>
        <v>0</v>
      </c>
      <c r="G10" s="25" t="b">
        <f aca="false">FALSE()</f>
        <v>0</v>
      </c>
      <c r="H10" s="0" t="s">
        <v>147</v>
      </c>
    </row>
    <row r="11" customFormat="false" ht="15" hidden="false" customHeight="false" outlineLevel="0" collapsed="false">
      <c r="A11" s="0" t="s">
        <v>37</v>
      </c>
      <c r="B11" s="0" t="s">
        <v>36</v>
      </c>
      <c r="C11" s="0" t="n">
        <v>2017</v>
      </c>
      <c r="D11" s="0" t="n">
        <v>-4710</v>
      </c>
      <c r="E11" s="0" t="s">
        <v>146</v>
      </c>
      <c r="F11" s="25" t="b">
        <f aca="false">FALSE()</f>
        <v>0</v>
      </c>
      <c r="G11" s="25" t="b">
        <f aca="false">FALSE()</f>
        <v>0</v>
      </c>
      <c r="H11" s="0" t="s">
        <v>148</v>
      </c>
    </row>
    <row r="12" customFormat="false" ht="15" hidden="false" customHeight="false" outlineLevel="0" collapsed="false">
      <c r="A12" s="0" t="s">
        <v>37</v>
      </c>
      <c r="B12" s="0" t="s">
        <v>36</v>
      </c>
      <c r="C12" s="0" t="n">
        <v>2018</v>
      </c>
      <c r="D12" s="0" t="n">
        <v>-4909</v>
      </c>
      <c r="E12" s="0" t="s">
        <v>146</v>
      </c>
      <c r="F12" s="25" t="b">
        <f aca="false">FALSE()</f>
        <v>0</v>
      </c>
      <c r="G12" s="25" t="b">
        <f aca="false">FALSE()</f>
        <v>0</v>
      </c>
      <c r="H12" s="0" t="s">
        <v>149</v>
      </c>
    </row>
    <row r="13" customFormat="false" ht="15" hidden="false" customHeight="false" outlineLevel="0" collapsed="false">
      <c r="A13" s="0" t="s">
        <v>37</v>
      </c>
      <c r="B13" s="0" t="s">
        <v>36</v>
      </c>
      <c r="C13" s="0" t="n">
        <v>2019</v>
      </c>
      <c r="D13" s="0" t="n">
        <v>-5272</v>
      </c>
      <c r="E13" s="0" t="s">
        <v>146</v>
      </c>
      <c r="F13" s="25" t="b">
        <f aca="false">FALSE()</f>
        <v>0</v>
      </c>
      <c r="G13" s="25" t="b">
        <f aca="false">FALSE()</f>
        <v>0</v>
      </c>
      <c r="H13" s="0" t="s">
        <v>150</v>
      </c>
    </row>
    <row r="14" customFormat="false" ht="15" hidden="false" customHeight="false" outlineLevel="0" collapsed="false">
      <c r="A14" s="0" t="s">
        <v>37</v>
      </c>
      <c r="B14" s="0" t="s">
        <v>36</v>
      </c>
      <c r="C14" s="0" t="n">
        <v>2020</v>
      </c>
      <c r="D14" s="0" t="n">
        <v>-5358</v>
      </c>
      <c r="E14" s="0" t="s">
        <v>146</v>
      </c>
      <c r="F14" s="25" t="b">
        <f aca="false">FALSE()</f>
        <v>0</v>
      </c>
      <c r="G14" s="25" t="b">
        <f aca="false">FALSE()</f>
        <v>0</v>
      </c>
      <c r="H14" s="0" t="s">
        <v>151</v>
      </c>
    </row>
    <row r="15" customFormat="false" ht="15" hidden="false" customHeight="false" outlineLevel="0" collapsed="false">
      <c r="A15" s="0" t="s">
        <v>37</v>
      </c>
      <c r="B15" s="0" t="s">
        <v>36</v>
      </c>
      <c r="C15" s="0" t="n">
        <v>2021</v>
      </c>
      <c r="D15" s="0" t="n">
        <v>-4969</v>
      </c>
      <c r="E15" s="0" t="s">
        <v>146</v>
      </c>
      <c r="F15" s="25" t="b">
        <f aca="false">FALSE()</f>
        <v>0</v>
      </c>
      <c r="G15" s="25" t="b">
        <f aca="false">FALSE()</f>
        <v>0</v>
      </c>
      <c r="H15" s="0" t="s">
        <v>152</v>
      </c>
    </row>
    <row r="16" customFormat="false" ht="15" hidden="false" customHeight="false" outlineLevel="0" collapsed="false">
      <c r="A16" s="0" t="s">
        <v>37</v>
      </c>
      <c r="B16" s="0" t="s">
        <v>36</v>
      </c>
      <c r="C16" s="0" t="n">
        <v>2022</v>
      </c>
      <c r="D16" s="0" t="n">
        <v>-5470</v>
      </c>
      <c r="E16" s="0" t="s">
        <v>146</v>
      </c>
      <c r="F16" s="25" t="b">
        <f aca="false">FALSE()</f>
        <v>0</v>
      </c>
      <c r="G16" s="25" t="b">
        <f aca="false">FALSE()</f>
        <v>0</v>
      </c>
      <c r="H16" s="0" t="s">
        <v>153</v>
      </c>
    </row>
    <row r="17" customFormat="false" ht="15" hidden="false" customHeight="false" outlineLevel="0" collapsed="false">
      <c r="A17" s="0" t="s">
        <v>37</v>
      </c>
      <c r="B17" s="0" t="s">
        <v>36</v>
      </c>
      <c r="C17" s="0" t="n">
        <v>2023</v>
      </c>
      <c r="D17" s="0" t="n">
        <v>-5528</v>
      </c>
      <c r="E17" s="0" t="s">
        <v>146</v>
      </c>
      <c r="F17" s="25" t="b">
        <f aca="false">FALSE()</f>
        <v>0</v>
      </c>
      <c r="G17" s="25" t="b">
        <f aca="false">FALSE()</f>
        <v>0</v>
      </c>
      <c r="H17" s="0" t="s">
        <v>154</v>
      </c>
    </row>
    <row r="18" customFormat="false" ht="15" hidden="false" customHeight="false" outlineLevel="0" collapsed="false">
      <c r="A18" s="0" t="s">
        <v>79</v>
      </c>
      <c r="B18" s="0" t="s">
        <v>78</v>
      </c>
      <c r="C18" s="0" t="n">
        <v>2016</v>
      </c>
      <c r="D18" s="0" t="n">
        <v>2</v>
      </c>
      <c r="E18" s="0" t="s">
        <v>155</v>
      </c>
      <c r="F18" s="25" t="b">
        <f aca="false">FALSE()</f>
        <v>0</v>
      </c>
      <c r="G18" s="25" t="b">
        <f aca="false">FALSE()</f>
        <v>0</v>
      </c>
      <c r="H18" s="0" t="s">
        <v>156</v>
      </c>
    </row>
    <row r="19" customFormat="false" ht="15" hidden="false" customHeight="false" outlineLevel="0" collapsed="false">
      <c r="A19" s="0" t="s">
        <v>79</v>
      </c>
      <c r="B19" s="0" t="s">
        <v>78</v>
      </c>
      <c r="C19" s="0" t="n">
        <v>2017</v>
      </c>
      <c r="D19" s="0" t="n">
        <v>2.6</v>
      </c>
      <c r="E19" s="0" t="s">
        <v>155</v>
      </c>
      <c r="F19" s="25" t="b">
        <f aca="false">FALSE()</f>
        <v>0</v>
      </c>
      <c r="G19" s="25" t="b">
        <f aca="false">FALSE()</f>
        <v>0</v>
      </c>
      <c r="H19" s="0" t="s">
        <v>157</v>
      </c>
    </row>
    <row r="20" customFormat="false" ht="15" hidden="false" customHeight="false" outlineLevel="0" collapsed="false">
      <c r="A20" s="0" t="s">
        <v>79</v>
      </c>
      <c r="B20" s="0" t="s">
        <v>78</v>
      </c>
      <c r="C20" s="0" t="n">
        <v>2018</v>
      </c>
      <c r="D20" s="0" t="n">
        <v>3.35</v>
      </c>
      <c r="E20" s="0" t="s">
        <v>155</v>
      </c>
      <c r="F20" s="25" t="b">
        <f aca="false">FALSE()</f>
        <v>0</v>
      </c>
      <c r="G20" s="25" t="b">
        <f aca="false">FALSE()</f>
        <v>0</v>
      </c>
      <c r="H20" s="0" t="s">
        <v>158</v>
      </c>
    </row>
    <row r="21" customFormat="false" ht="15" hidden="false" customHeight="false" outlineLevel="0" collapsed="false">
      <c r="A21" s="0" t="s">
        <v>79</v>
      </c>
      <c r="B21" s="0" t="s">
        <v>78</v>
      </c>
      <c r="C21" s="0" t="n">
        <v>2019</v>
      </c>
      <c r="D21" s="0" t="n">
        <v>3.85</v>
      </c>
      <c r="E21" s="0" t="s">
        <v>155</v>
      </c>
      <c r="F21" s="25" t="b">
        <f aca="false">FALSE()</f>
        <v>0</v>
      </c>
      <c r="G21" s="25" t="b">
        <f aca="false">FALSE()</f>
        <v>0</v>
      </c>
      <c r="H21" s="0" t="s">
        <v>159</v>
      </c>
    </row>
    <row r="22" customFormat="false" ht="15" hidden="false" customHeight="false" outlineLevel="0" collapsed="false">
      <c r="A22" s="0" t="s">
        <v>79</v>
      </c>
      <c r="B22" s="0" t="s">
        <v>78</v>
      </c>
      <c r="C22" s="0" t="n">
        <v>2020</v>
      </c>
      <c r="E22" s="0" t="s">
        <v>155</v>
      </c>
      <c r="F22" s="25" t="b">
        <f aca="false">FALSE()</f>
        <v>0</v>
      </c>
      <c r="G22" s="25" t="b">
        <f aca="false">FALSE()</f>
        <v>0</v>
      </c>
      <c r="H22" s="0" t="s">
        <v>160</v>
      </c>
    </row>
    <row r="23" customFormat="false" ht="15" hidden="false" customHeight="false" outlineLevel="0" collapsed="false">
      <c r="A23" s="0" t="s">
        <v>79</v>
      </c>
      <c r="B23" s="0" t="s">
        <v>78</v>
      </c>
      <c r="C23" s="0" t="n">
        <v>2021</v>
      </c>
      <c r="D23" s="0" t="n">
        <v>3.3</v>
      </c>
      <c r="E23" s="0" t="s">
        <v>155</v>
      </c>
      <c r="F23" s="25" t="b">
        <f aca="false">FALSE()</f>
        <v>0</v>
      </c>
      <c r="G23" s="25" t="b">
        <f aca="false">FALSE()</f>
        <v>0</v>
      </c>
      <c r="H23" s="0" t="s">
        <v>161</v>
      </c>
    </row>
    <row r="24" customFormat="false" ht="15" hidden="false" customHeight="false" outlineLevel="0" collapsed="false">
      <c r="A24" s="0" t="s">
        <v>79</v>
      </c>
      <c r="B24" s="0" t="s">
        <v>78</v>
      </c>
      <c r="C24" s="0" t="n">
        <v>2022</v>
      </c>
      <c r="D24" s="0" t="n">
        <v>0.7</v>
      </c>
      <c r="E24" s="0" t="s">
        <v>155</v>
      </c>
      <c r="F24" s="25" t="b">
        <f aca="false">FALSE()</f>
        <v>0</v>
      </c>
      <c r="G24" s="25" t="b">
        <f aca="false">FALSE()</f>
        <v>0</v>
      </c>
      <c r="H24" s="0" t="s">
        <v>162</v>
      </c>
    </row>
    <row r="25" customFormat="false" ht="15" hidden="false" customHeight="false" outlineLevel="0" collapsed="false">
      <c r="A25" s="0" t="s">
        <v>79</v>
      </c>
      <c r="B25" s="0" t="s">
        <v>78</v>
      </c>
      <c r="C25" s="0" t="n">
        <v>2023</v>
      </c>
      <c r="D25" s="0" t="n">
        <v>0.7</v>
      </c>
      <c r="E25" s="0" t="s">
        <v>155</v>
      </c>
      <c r="F25" s="25" t="b">
        <f aca="false">FALSE()</f>
        <v>0</v>
      </c>
      <c r="G25" s="25" t="b">
        <f aca="false">FALSE()</f>
        <v>0</v>
      </c>
      <c r="H25" s="0" t="s">
        <v>163</v>
      </c>
    </row>
    <row r="26" customFormat="false" ht="15" hidden="false" customHeight="false" outlineLevel="0" collapsed="false">
      <c r="A26" s="0" t="s">
        <v>47</v>
      </c>
      <c r="B26" s="0" t="s">
        <v>46</v>
      </c>
      <c r="C26" s="0" t="n">
        <v>2016</v>
      </c>
      <c r="D26" s="0" t="n">
        <v>1407</v>
      </c>
      <c r="E26" s="0" t="s">
        <v>164</v>
      </c>
      <c r="F26" s="25" t="b">
        <f aca="false">TRUE()</f>
        <v>1</v>
      </c>
      <c r="G26" s="25" t="b">
        <f aca="false">FALSE()</f>
        <v>0</v>
      </c>
      <c r="H26" s="0" t="s">
        <v>165</v>
      </c>
    </row>
    <row r="27" customFormat="false" ht="15" hidden="false" customHeight="false" outlineLevel="0" collapsed="false">
      <c r="A27" s="0" t="s">
        <v>47</v>
      </c>
      <c r="B27" s="0" t="s">
        <v>46</v>
      </c>
      <c r="C27" s="0" t="n">
        <v>2017</v>
      </c>
      <c r="D27" s="0" t="n">
        <v>1985</v>
      </c>
      <c r="E27" s="0" t="s">
        <v>164</v>
      </c>
      <c r="F27" s="25" t="b">
        <f aca="false">TRUE()</f>
        <v>1</v>
      </c>
      <c r="G27" s="25" t="b">
        <f aca="false">FALSE()</f>
        <v>0</v>
      </c>
      <c r="H27" s="0" t="s">
        <v>166</v>
      </c>
    </row>
    <row r="28" customFormat="false" ht="15" hidden="false" customHeight="false" outlineLevel="0" collapsed="false">
      <c r="A28" s="0" t="s">
        <v>47</v>
      </c>
      <c r="B28" s="0" t="s">
        <v>46</v>
      </c>
      <c r="C28" s="0" t="n">
        <v>2018</v>
      </c>
      <c r="D28" s="0" t="n">
        <v>2361</v>
      </c>
      <c r="E28" s="0" t="s">
        <v>164</v>
      </c>
      <c r="F28" s="25" t="b">
        <f aca="false">TRUE()</f>
        <v>1</v>
      </c>
      <c r="G28" s="25" t="b">
        <f aca="false">FALSE()</f>
        <v>0</v>
      </c>
      <c r="H28" s="0" t="s">
        <v>167</v>
      </c>
    </row>
    <row r="29" customFormat="false" ht="15" hidden="false" customHeight="false" outlineLevel="0" collapsed="false">
      <c r="A29" s="0" t="s">
        <v>47</v>
      </c>
      <c r="B29" s="0" t="s">
        <v>46</v>
      </c>
      <c r="C29" s="0" t="n">
        <v>2019</v>
      </c>
      <c r="D29" s="0" t="n">
        <v>2620</v>
      </c>
      <c r="E29" s="0" t="s">
        <v>164</v>
      </c>
      <c r="F29" s="25" t="b">
        <f aca="false">TRUE()</f>
        <v>1</v>
      </c>
      <c r="G29" s="25" t="b">
        <f aca="false">FALSE()</f>
        <v>0</v>
      </c>
      <c r="H29" s="0" t="s">
        <v>168</v>
      </c>
    </row>
    <row r="30" customFormat="false" ht="15" hidden="false" customHeight="false" outlineLevel="0" collapsed="false">
      <c r="A30" s="0" t="s">
        <v>47</v>
      </c>
      <c r="B30" s="0" t="s">
        <v>46</v>
      </c>
      <c r="C30" s="0" t="n">
        <v>2020</v>
      </c>
      <c r="D30" s="0" t="n">
        <v>803</v>
      </c>
      <c r="E30" s="0" t="s">
        <v>164</v>
      </c>
      <c r="F30" s="25" t="b">
        <f aca="false">TRUE()</f>
        <v>1</v>
      </c>
      <c r="G30" s="25" t="b">
        <f aca="false">FALSE()</f>
        <v>0</v>
      </c>
      <c r="H30" s="0" t="s">
        <v>169</v>
      </c>
    </row>
    <row r="31" customFormat="false" ht="15" hidden="false" customHeight="false" outlineLevel="0" collapsed="false">
      <c r="A31" s="0" t="s">
        <v>47</v>
      </c>
      <c r="B31" s="0" t="s">
        <v>46</v>
      </c>
      <c r="C31" s="0" t="n">
        <v>2021</v>
      </c>
      <c r="D31" s="0" t="n">
        <v>1840</v>
      </c>
      <c r="E31" s="0" t="s">
        <v>164</v>
      </c>
      <c r="F31" s="25" t="b">
        <f aca="false">TRUE()</f>
        <v>1</v>
      </c>
      <c r="G31" s="25" t="b">
        <f aca="false">FALSE()</f>
        <v>0</v>
      </c>
      <c r="H31" s="0" t="s">
        <v>170</v>
      </c>
    </row>
    <row r="32" customFormat="false" ht="15" hidden="false" customHeight="false" outlineLevel="0" collapsed="false">
      <c r="A32" s="0" t="s">
        <v>47</v>
      </c>
      <c r="B32" s="0" t="s">
        <v>46</v>
      </c>
      <c r="C32" s="0" t="n">
        <v>2022</v>
      </c>
      <c r="D32" s="0" t="n">
        <v>387</v>
      </c>
      <c r="E32" s="0" t="s">
        <v>164</v>
      </c>
      <c r="F32" s="25" t="b">
        <f aca="false">TRUE()</f>
        <v>1</v>
      </c>
      <c r="G32" s="25" t="b">
        <f aca="false">FALSE()</f>
        <v>0</v>
      </c>
      <c r="H32" s="0" t="s">
        <v>171</v>
      </c>
    </row>
    <row r="33" customFormat="false" ht="15" hidden="false" customHeight="false" outlineLevel="0" collapsed="false">
      <c r="A33" s="0" t="s">
        <v>47</v>
      </c>
      <c r="B33" s="0" t="s">
        <v>46</v>
      </c>
      <c r="C33" s="0" t="n">
        <v>2023</v>
      </c>
      <c r="D33" s="0" t="n">
        <v>355</v>
      </c>
      <c r="E33" s="0" t="s">
        <v>164</v>
      </c>
      <c r="F33" s="25" t="b">
        <f aca="false">TRUE()</f>
        <v>1</v>
      </c>
      <c r="G33" s="25" t="b">
        <f aca="false">FALSE()</f>
        <v>0</v>
      </c>
      <c r="H33" s="0" t="s">
        <v>172</v>
      </c>
    </row>
    <row r="34" customFormat="false" ht="15" hidden="false" customHeight="false" outlineLevel="0" collapsed="false">
      <c r="A34" s="0" t="s">
        <v>55</v>
      </c>
      <c r="B34" s="0" t="s">
        <v>54</v>
      </c>
      <c r="C34" s="0" t="n">
        <v>2016</v>
      </c>
      <c r="D34" s="0" t="n">
        <v>1353</v>
      </c>
      <c r="E34" s="0" t="s">
        <v>164</v>
      </c>
      <c r="F34" s="25" t="b">
        <f aca="false">TRUE()</f>
        <v>1</v>
      </c>
      <c r="G34" s="25" t="b">
        <f aca="false">FALSE()</f>
        <v>0</v>
      </c>
      <c r="H34" s="0" t="s">
        <v>173</v>
      </c>
    </row>
    <row r="35" customFormat="false" ht="15" hidden="false" customHeight="false" outlineLevel="0" collapsed="false">
      <c r="A35" s="0" t="s">
        <v>55</v>
      </c>
      <c r="B35" s="0" t="s">
        <v>54</v>
      </c>
      <c r="C35" s="0" t="n">
        <v>2017</v>
      </c>
      <c r="D35" s="0" t="n">
        <v>1927</v>
      </c>
      <c r="E35" s="0" t="s">
        <v>164</v>
      </c>
      <c r="F35" s="25" t="b">
        <f aca="false">TRUE()</f>
        <v>1</v>
      </c>
      <c r="G35" s="25" t="b">
        <f aca="false">FALSE()</f>
        <v>0</v>
      </c>
      <c r="H35" s="0" t="s">
        <v>174</v>
      </c>
    </row>
    <row r="36" customFormat="false" ht="15" hidden="false" customHeight="false" outlineLevel="0" collapsed="false">
      <c r="A36" s="0" t="s">
        <v>55</v>
      </c>
      <c r="B36" s="0" t="s">
        <v>54</v>
      </c>
      <c r="C36" s="0" t="n">
        <v>2018</v>
      </c>
      <c r="D36" s="0" t="n">
        <v>2298</v>
      </c>
      <c r="E36" s="0" t="s">
        <v>164</v>
      </c>
      <c r="F36" s="25" t="b">
        <f aca="false">TRUE()</f>
        <v>1</v>
      </c>
      <c r="G36" s="25" t="b">
        <f aca="false">FALSE()</f>
        <v>0</v>
      </c>
      <c r="H36" s="0" t="s">
        <v>175</v>
      </c>
    </row>
    <row r="37" customFormat="false" ht="15" hidden="false" customHeight="false" outlineLevel="0" collapsed="false">
      <c r="A37" s="0" t="s">
        <v>55</v>
      </c>
      <c r="B37" s="0" t="s">
        <v>54</v>
      </c>
      <c r="C37" s="0" t="n">
        <v>2019</v>
      </c>
      <c r="D37" s="0" t="n">
        <v>2486</v>
      </c>
      <c r="E37" s="0" t="s">
        <v>164</v>
      </c>
      <c r="F37" s="25" t="b">
        <f aca="false">TRUE()</f>
        <v>1</v>
      </c>
      <c r="G37" s="25" t="b">
        <f aca="false">FALSE()</f>
        <v>0</v>
      </c>
      <c r="H37" s="0" t="s">
        <v>176</v>
      </c>
    </row>
    <row r="38" customFormat="false" ht="15" hidden="false" customHeight="false" outlineLevel="0" collapsed="false">
      <c r="A38" s="0" t="s">
        <v>55</v>
      </c>
      <c r="B38" s="0" t="s">
        <v>54</v>
      </c>
      <c r="C38" s="0" t="n">
        <v>2020</v>
      </c>
      <c r="D38" s="0" t="n">
        <v>651</v>
      </c>
      <c r="E38" s="0" t="s">
        <v>164</v>
      </c>
      <c r="F38" s="25" t="b">
        <f aca="false">TRUE()</f>
        <v>1</v>
      </c>
      <c r="G38" s="25" t="b">
        <f aca="false">FALSE()</f>
        <v>0</v>
      </c>
      <c r="H38" s="0" t="s">
        <v>177</v>
      </c>
    </row>
    <row r="39" customFormat="false" ht="15" hidden="false" customHeight="false" outlineLevel="0" collapsed="false">
      <c r="A39" s="0" t="s">
        <v>55</v>
      </c>
      <c r="B39" s="0" t="s">
        <v>54</v>
      </c>
      <c r="C39" s="0" t="n">
        <v>2021</v>
      </c>
      <c r="D39" s="0" t="n">
        <v>1698</v>
      </c>
      <c r="E39" s="0" t="s">
        <v>164</v>
      </c>
      <c r="F39" s="25" t="b">
        <f aca="false">TRUE()</f>
        <v>1</v>
      </c>
      <c r="G39" s="25" t="b">
        <f aca="false">FALSE()</f>
        <v>0</v>
      </c>
      <c r="H39" s="0" t="s">
        <v>178</v>
      </c>
    </row>
    <row r="40" customFormat="false" ht="15" hidden="false" customHeight="false" outlineLevel="0" collapsed="false">
      <c r="A40" s="0" t="s">
        <v>55</v>
      </c>
      <c r="B40" s="0" t="s">
        <v>54</v>
      </c>
      <c r="C40" s="0" t="n">
        <v>2022</v>
      </c>
      <c r="D40" s="0" t="n">
        <v>232</v>
      </c>
      <c r="E40" s="0" t="s">
        <v>164</v>
      </c>
      <c r="F40" s="25" t="b">
        <f aca="false">TRUE()</f>
        <v>1</v>
      </c>
      <c r="G40" s="25" t="b">
        <f aca="false">FALSE()</f>
        <v>0</v>
      </c>
      <c r="H40" s="0" t="s">
        <v>179</v>
      </c>
    </row>
    <row r="41" customFormat="false" ht="15" hidden="false" customHeight="false" outlineLevel="0" collapsed="false">
      <c r="A41" s="0" t="s">
        <v>55</v>
      </c>
      <c r="B41" s="0" t="s">
        <v>54</v>
      </c>
      <c r="C41" s="0" t="n">
        <v>2023</v>
      </c>
      <c r="D41" s="0" t="n">
        <v>175</v>
      </c>
      <c r="E41" s="0" t="s">
        <v>164</v>
      </c>
      <c r="F41" s="25" t="b">
        <f aca="false">TRUE()</f>
        <v>1</v>
      </c>
      <c r="G41" s="25" t="b">
        <f aca="false">FALSE()</f>
        <v>0</v>
      </c>
      <c r="H41" s="0" t="s">
        <v>180</v>
      </c>
    </row>
    <row r="42" customFormat="false" ht="15" hidden="false" customHeight="false" outlineLevel="0" collapsed="false">
      <c r="A42" s="0" t="s">
        <v>71</v>
      </c>
      <c r="B42" s="0" t="s">
        <v>70</v>
      </c>
      <c r="C42" s="0" t="n">
        <v>2016</v>
      </c>
      <c r="D42" s="0" t="n">
        <v>4.72</v>
      </c>
      <c r="E42" s="0" t="s">
        <v>155</v>
      </c>
      <c r="F42" s="25" t="b">
        <f aca="false">FALSE()</f>
        <v>0</v>
      </c>
      <c r="G42" s="25" t="b">
        <f aca="false">FALSE()</f>
        <v>0</v>
      </c>
      <c r="H42" s="0" t="s">
        <v>181</v>
      </c>
    </row>
    <row r="43" customFormat="false" ht="15" hidden="false" customHeight="false" outlineLevel="0" collapsed="false">
      <c r="A43" s="0" t="s">
        <v>71</v>
      </c>
      <c r="B43" s="0" t="s">
        <v>70</v>
      </c>
      <c r="C43" s="0" t="n">
        <v>2017</v>
      </c>
      <c r="D43" s="0" t="n">
        <v>6.78</v>
      </c>
      <c r="E43" s="0" t="s">
        <v>155</v>
      </c>
      <c r="F43" s="25" t="b">
        <f aca="false">FALSE()</f>
        <v>0</v>
      </c>
      <c r="G43" s="25" t="b">
        <f aca="false">FALSE()</f>
        <v>0</v>
      </c>
      <c r="H43" s="0" t="s">
        <v>182</v>
      </c>
    </row>
    <row r="44" customFormat="false" ht="15" hidden="false" customHeight="false" outlineLevel="0" collapsed="false">
      <c r="A44" s="0" t="s">
        <v>71</v>
      </c>
      <c r="B44" s="0" t="s">
        <v>70</v>
      </c>
      <c r="C44" s="0" t="n">
        <v>2018</v>
      </c>
      <c r="D44" s="0" t="n">
        <v>8.45</v>
      </c>
      <c r="E44" s="0" t="s">
        <v>155</v>
      </c>
      <c r="F44" s="25" t="b">
        <f aca="false">FALSE()</f>
        <v>0</v>
      </c>
      <c r="G44" s="25" t="b">
        <f aca="false">FALSE()</f>
        <v>0</v>
      </c>
      <c r="H44" s="0" t="s">
        <v>183</v>
      </c>
    </row>
    <row r="45" customFormat="false" ht="15" hidden="false" customHeight="false" outlineLevel="0" collapsed="false">
      <c r="A45" s="0" t="s">
        <v>71</v>
      </c>
      <c r="B45" s="0" t="s">
        <v>70</v>
      </c>
      <c r="C45" s="0" t="n">
        <v>2019</v>
      </c>
      <c r="D45" s="0" t="n">
        <v>9.48</v>
      </c>
      <c r="E45" s="0" t="s">
        <v>155</v>
      </c>
      <c r="F45" s="25" t="b">
        <f aca="false">FALSE()</f>
        <v>0</v>
      </c>
      <c r="G45" s="25" t="b">
        <f aca="false">FALSE()</f>
        <v>0</v>
      </c>
      <c r="H45" s="0" t="s">
        <v>184</v>
      </c>
    </row>
    <row r="46" customFormat="false" ht="15" hidden="false" customHeight="false" outlineLevel="0" collapsed="false">
      <c r="A46" s="0" t="s">
        <v>71</v>
      </c>
      <c r="B46" s="0" t="s">
        <v>70</v>
      </c>
      <c r="C46" s="0" t="n">
        <v>2020</v>
      </c>
      <c r="D46" s="0" t="n">
        <v>1.79</v>
      </c>
      <c r="E46" s="0" t="s">
        <v>155</v>
      </c>
      <c r="F46" s="25" t="b">
        <f aca="false">FALSE()</f>
        <v>0</v>
      </c>
      <c r="G46" s="25" t="b">
        <f aca="false">FALSE()</f>
        <v>0</v>
      </c>
      <c r="H46" s="0" t="s">
        <v>185</v>
      </c>
    </row>
    <row r="47" customFormat="false" ht="15" hidden="false" customHeight="false" outlineLevel="0" collapsed="false">
      <c r="A47" s="0" t="s">
        <v>71</v>
      </c>
      <c r="B47" s="0" t="s">
        <v>70</v>
      </c>
      <c r="C47" s="0" t="n">
        <v>2021</v>
      </c>
      <c r="D47" s="0" t="n">
        <v>7.39</v>
      </c>
      <c r="E47" s="0" t="s">
        <v>155</v>
      </c>
      <c r="F47" s="25" t="b">
        <f aca="false">FALSE()</f>
        <v>0</v>
      </c>
      <c r="G47" s="25" t="b">
        <f aca="false">FALSE()</f>
        <v>0</v>
      </c>
      <c r="H47" s="0" t="s">
        <v>186</v>
      </c>
    </row>
    <row r="48" customFormat="false" ht="15" hidden="false" customHeight="false" outlineLevel="0" collapsed="false">
      <c r="A48" s="0" t="s">
        <v>71</v>
      </c>
      <c r="B48" s="0" t="s">
        <v>70</v>
      </c>
      <c r="C48" s="0" t="n">
        <v>2022</v>
      </c>
      <c r="D48" s="0" t="n">
        <v>0.27</v>
      </c>
      <c r="E48" s="0" t="s">
        <v>155</v>
      </c>
      <c r="F48" s="25" t="b">
        <f aca="false">FALSE()</f>
        <v>0</v>
      </c>
      <c r="G48" s="25" t="b">
        <f aca="false">FALSE()</f>
        <v>0</v>
      </c>
      <c r="H48" s="0" t="s">
        <v>187</v>
      </c>
    </row>
    <row r="49" customFormat="false" ht="15" hidden="false" customHeight="false" outlineLevel="0" collapsed="false">
      <c r="A49" s="0" t="s">
        <v>71</v>
      </c>
      <c r="B49" s="0" t="s">
        <v>70</v>
      </c>
      <c r="C49" s="0" t="n">
        <v>2023</v>
      </c>
      <c r="D49" s="0" t="n">
        <v>-0.18</v>
      </c>
      <c r="E49" s="0" t="s">
        <v>155</v>
      </c>
      <c r="F49" s="25" t="b">
        <f aca="false">FALSE()</f>
        <v>0</v>
      </c>
      <c r="G49" s="25" t="b">
        <f aca="false">FALSE()</f>
        <v>0</v>
      </c>
      <c r="H49" s="0" t="s">
        <v>188</v>
      </c>
    </row>
    <row r="50" customFormat="false" ht="15" hidden="false" customHeight="false" outlineLevel="0" collapsed="false">
      <c r="A50" s="0" t="s">
        <v>73</v>
      </c>
      <c r="B50" s="0" t="s">
        <v>72</v>
      </c>
      <c r="C50" s="0" t="n">
        <v>2016</v>
      </c>
      <c r="D50" s="0" t="n">
        <v>4.7</v>
      </c>
      <c r="E50" s="0" t="s">
        <v>155</v>
      </c>
      <c r="F50" s="25" t="b">
        <f aca="false">FALSE()</f>
        <v>0</v>
      </c>
      <c r="G50" s="25" t="b">
        <f aca="false">FALSE()</f>
        <v>0</v>
      </c>
      <c r="H50" s="0" t="s">
        <v>189</v>
      </c>
    </row>
    <row r="51" customFormat="false" ht="15" hidden="false" customHeight="false" outlineLevel="0" collapsed="false">
      <c r="A51" s="0" t="s">
        <v>73</v>
      </c>
      <c r="B51" s="0" t="s">
        <v>72</v>
      </c>
      <c r="C51" s="0" t="n">
        <v>2017</v>
      </c>
      <c r="D51" s="0" t="n">
        <v>6.75</v>
      </c>
      <c r="E51" s="0" t="s">
        <v>155</v>
      </c>
      <c r="F51" s="25" t="b">
        <f aca="false">FALSE()</f>
        <v>0</v>
      </c>
      <c r="G51" s="25" t="b">
        <f aca="false">FALSE()</f>
        <v>0</v>
      </c>
      <c r="H51" s="0" t="s">
        <v>190</v>
      </c>
    </row>
    <row r="52" customFormat="false" ht="15" hidden="false" customHeight="false" outlineLevel="0" collapsed="false">
      <c r="A52" s="0" t="s">
        <v>73</v>
      </c>
      <c r="B52" s="0" t="s">
        <v>72</v>
      </c>
      <c r="C52" s="0" t="n">
        <v>2018</v>
      </c>
      <c r="D52" s="0" t="n">
        <v>8.42</v>
      </c>
      <c r="E52" s="0" t="s">
        <v>155</v>
      </c>
      <c r="F52" s="25" t="b">
        <f aca="false">FALSE()</f>
        <v>0</v>
      </c>
      <c r="G52" s="25" t="b">
        <f aca="false">FALSE()</f>
        <v>0</v>
      </c>
      <c r="H52" s="0" t="s">
        <v>191</v>
      </c>
    </row>
    <row r="53" customFormat="false" ht="15" hidden="false" customHeight="false" outlineLevel="0" collapsed="false">
      <c r="A53" s="0" t="s">
        <v>73</v>
      </c>
      <c r="B53" s="0" t="s">
        <v>72</v>
      </c>
      <c r="C53" s="0" t="n">
        <v>2019</v>
      </c>
      <c r="D53" s="0" t="n">
        <v>9.44</v>
      </c>
      <c r="E53" s="0" t="s">
        <v>155</v>
      </c>
      <c r="F53" s="25" t="b">
        <f aca="false">FALSE()</f>
        <v>0</v>
      </c>
      <c r="G53" s="25" t="b">
        <f aca="false">FALSE()</f>
        <v>0</v>
      </c>
      <c r="H53" s="0" t="s">
        <v>192</v>
      </c>
    </row>
    <row r="54" customFormat="false" ht="15" hidden="false" customHeight="false" outlineLevel="0" collapsed="false">
      <c r="A54" s="0" t="s">
        <v>73</v>
      </c>
      <c r="B54" s="0" t="s">
        <v>72</v>
      </c>
      <c r="C54" s="0" t="n">
        <v>2020</v>
      </c>
      <c r="D54" s="0" t="n">
        <v>1.78</v>
      </c>
      <c r="E54" s="0" t="s">
        <v>155</v>
      </c>
      <c r="F54" s="25" t="b">
        <f aca="false">FALSE()</f>
        <v>0</v>
      </c>
      <c r="G54" s="25" t="b">
        <f aca="false">FALSE()</f>
        <v>0</v>
      </c>
      <c r="H54" s="0" t="s">
        <v>193</v>
      </c>
    </row>
    <row r="55" customFormat="false" ht="15" hidden="false" customHeight="false" outlineLevel="0" collapsed="false">
      <c r="A55" s="0" t="s">
        <v>73</v>
      </c>
      <c r="B55" s="0" t="s">
        <v>72</v>
      </c>
      <c r="C55" s="0" t="n">
        <v>2021</v>
      </c>
      <c r="D55" s="0" t="n">
        <v>7.36</v>
      </c>
      <c r="E55" s="0" t="s">
        <v>155</v>
      </c>
      <c r="F55" s="25" t="b">
        <f aca="false">FALSE()</f>
        <v>0</v>
      </c>
      <c r="G55" s="25" t="b">
        <f aca="false">FALSE()</f>
        <v>0</v>
      </c>
      <c r="H55" s="0" t="s">
        <v>194</v>
      </c>
    </row>
    <row r="56" customFormat="false" ht="15" hidden="false" customHeight="false" outlineLevel="0" collapsed="false">
      <c r="A56" s="0" t="s">
        <v>73</v>
      </c>
      <c r="B56" s="0" t="s">
        <v>72</v>
      </c>
      <c r="C56" s="0" t="n">
        <v>2022</v>
      </c>
      <c r="D56" s="0" t="n">
        <v>0.27</v>
      </c>
      <c r="E56" s="0" t="s">
        <v>155</v>
      </c>
      <c r="F56" s="25" t="b">
        <f aca="false">FALSE()</f>
        <v>0</v>
      </c>
      <c r="G56" s="25" t="b">
        <f aca="false">FALSE()</f>
        <v>0</v>
      </c>
      <c r="H56" s="0" t="s">
        <v>195</v>
      </c>
    </row>
    <row r="57" customFormat="false" ht="15" hidden="false" customHeight="false" outlineLevel="0" collapsed="false">
      <c r="A57" s="0" t="s">
        <v>73</v>
      </c>
      <c r="B57" s="0" t="s">
        <v>72</v>
      </c>
      <c r="C57" s="0" t="n">
        <v>2023</v>
      </c>
      <c r="D57" s="0" t="n">
        <v>-0.18</v>
      </c>
      <c r="E57" s="0" t="s">
        <v>155</v>
      </c>
      <c r="F57" s="25" t="b">
        <f aca="false">FALSE()</f>
        <v>0</v>
      </c>
      <c r="G57" s="25" t="b">
        <f aca="false">FALSE()</f>
        <v>0</v>
      </c>
      <c r="H57" s="0" t="s">
        <v>196</v>
      </c>
    </row>
    <row r="58" customFormat="false" ht="15" hidden="false" customHeight="false" outlineLevel="0" collapsed="false">
      <c r="A58" s="0" t="s">
        <v>59</v>
      </c>
      <c r="B58" s="0" t="s">
        <v>58</v>
      </c>
      <c r="C58" s="0" t="n">
        <v>2016</v>
      </c>
      <c r="D58" s="0" t="n">
        <v>0.29</v>
      </c>
      <c r="E58" s="0" t="s">
        <v>197</v>
      </c>
      <c r="F58" s="25" t="b">
        <f aca="false">FALSE()</f>
        <v>0</v>
      </c>
      <c r="G58" s="25" t="b">
        <f aca="false">TRUE()</f>
        <v>1</v>
      </c>
      <c r="H58" s="0" t="s">
        <v>198</v>
      </c>
    </row>
    <row r="59" customFormat="false" ht="15" hidden="false" customHeight="false" outlineLevel="0" collapsed="false">
      <c r="A59" s="0" t="s">
        <v>59</v>
      </c>
      <c r="B59" s="0" t="s">
        <v>58</v>
      </c>
      <c r="C59" s="0" t="n">
        <v>2017</v>
      </c>
      <c r="D59" s="0" t="n">
        <v>0.28</v>
      </c>
      <c r="E59" s="0" t="s">
        <v>197</v>
      </c>
      <c r="F59" s="25" t="b">
        <f aca="false">FALSE()</f>
        <v>0</v>
      </c>
      <c r="G59" s="25" t="b">
        <f aca="false">TRUE()</f>
        <v>1</v>
      </c>
      <c r="H59" s="0" t="s">
        <v>199</v>
      </c>
    </row>
    <row r="60" customFormat="false" ht="15" hidden="false" customHeight="false" outlineLevel="0" collapsed="false">
      <c r="A60" s="0" t="s">
        <v>59</v>
      </c>
      <c r="B60" s="0" t="s">
        <v>58</v>
      </c>
      <c r="C60" s="0" t="n">
        <v>2018</v>
      </c>
      <c r="D60" s="0" t="n">
        <v>0.26</v>
      </c>
      <c r="E60" s="0" t="s">
        <v>197</v>
      </c>
      <c r="F60" s="25" t="b">
        <f aca="false">FALSE()</f>
        <v>0</v>
      </c>
      <c r="G60" s="25" t="b">
        <f aca="false">TRUE()</f>
        <v>1</v>
      </c>
      <c r="H60" s="0" t="s">
        <v>200</v>
      </c>
    </row>
    <row r="61" customFormat="false" ht="15" hidden="false" customHeight="false" outlineLevel="0" collapsed="false">
      <c r="A61" s="0" t="s">
        <v>59</v>
      </c>
      <c r="B61" s="0" t="s">
        <v>58</v>
      </c>
      <c r="C61" s="0" t="n">
        <v>2019</v>
      </c>
      <c r="D61" s="0" t="n">
        <v>0.25</v>
      </c>
      <c r="E61" s="0" t="s">
        <v>197</v>
      </c>
      <c r="F61" s="25" t="b">
        <f aca="false">FALSE()</f>
        <v>0</v>
      </c>
      <c r="G61" s="25" t="b">
        <f aca="false">TRUE()</f>
        <v>1</v>
      </c>
      <c r="H61" s="0" t="s">
        <v>201</v>
      </c>
    </row>
    <row r="62" customFormat="false" ht="15" hidden="false" customHeight="false" outlineLevel="0" collapsed="false">
      <c r="A62" s="0" t="s">
        <v>59</v>
      </c>
      <c r="B62" s="0" t="s">
        <v>58</v>
      </c>
      <c r="C62" s="0" t="n">
        <v>2020</v>
      </c>
      <c r="D62" s="0" t="n">
        <v>0.35</v>
      </c>
      <c r="E62" s="0" t="s">
        <v>197</v>
      </c>
      <c r="F62" s="25" t="b">
        <f aca="false">FALSE()</f>
        <v>0</v>
      </c>
      <c r="G62" s="25" t="b">
        <f aca="false">TRUE()</f>
        <v>1</v>
      </c>
      <c r="H62" s="0" t="s">
        <v>202</v>
      </c>
    </row>
    <row r="63" customFormat="false" ht="15" hidden="false" customHeight="false" outlineLevel="0" collapsed="false">
      <c r="A63" s="0" t="s">
        <v>59</v>
      </c>
      <c r="B63" s="0" t="s">
        <v>58</v>
      </c>
      <c r="C63" s="0" t="n">
        <v>2021</v>
      </c>
      <c r="D63" s="0" t="n">
        <v>0.28</v>
      </c>
      <c r="E63" s="0" t="s">
        <v>197</v>
      </c>
      <c r="F63" s="25" t="b">
        <f aca="false">FALSE()</f>
        <v>0</v>
      </c>
      <c r="G63" s="25" t="b">
        <f aca="false">TRUE()</f>
        <v>1</v>
      </c>
      <c r="H63" s="0" t="s">
        <v>203</v>
      </c>
    </row>
    <row r="64" customFormat="false" ht="15" hidden="false" customHeight="false" outlineLevel="0" collapsed="false">
      <c r="A64" s="0" t="s">
        <v>59</v>
      </c>
      <c r="B64" s="0" t="s">
        <v>58</v>
      </c>
      <c r="C64" s="0" t="n">
        <v>2022</v>
      </c>
      <c r="D64" s="0" t="n">
        <v>0.75</v>
      </c>
      <c r="E64" s="0" t="s">
        <v>197</v>
      </c>
      <c r="F64" s="25" t="b">
        <f aca="false">FALSE()</f>
        <v>0</v>
      </c>
      <c r="G64" s="25" t="b">
        <f aca="false">TRUE()</f>
        <v>1</v>
      </c>
      <c r="H64" s="0" t="s">
        <v>204</v>
      </c>
    </row>
    <row r="65" customFormat="false" ht="15" hidden="false" customHeight="false" outlineLevel="0" collapsed="false">
      <c r="A65" s="0" t="s">
        <v>59</v>
      </c>
      <c r="B65" s="0" t="s">
        <v>58</v>
      </c>
      <c r="C65" s="0" t="n">
        <v>2023</v>
      </c>
      <c r="D65" s="0" t="n">
        <v>1.149</v>
      </c>
      <c r="E65" s="0" t="s">
        <v>197</v>
      </c>
      <c r="F65" s="25" t="b">
        <f aca="false">FALSE()</f>
        <v>0</v>
      </c>
      <c r="G65" s="25" t="b">
        <f aca="false">TRUE()</f>
        <v>1</v>
      </c>
      <c r="H65" s="0" t="s">
        <v>205</v>
      </c>
    </row>
    <row r="66" customFormat="false" ht="15" hidden="false" customHeight="false" outlineLevel="0" collapsed="false">
      <c r="A66" s="0" t="s">
        <v>53</v>
      </c>
      <c r="B66" s="0" t="s">
        <v>52</v>
      </c>
      <c r="C66" s="0" t="n">
        <v>2016</v>
      </c>
      <c r="D66" s="0" t="n">
        <v>-74</v>
      </c>
      <c r="E66" s="0" t="s">
        <v>206</v>
      </c>
      <c r="F66" s="25" t="b">
        <f aca="false">FALSE()</f>
        <v>0</v>
      </c>
      <c r="G66" s="25" t="b">
        <f aca="false">FALSE()</f>
        <v>0</v>
      </c>
      <c r="H66" s="0" t="s">
        <v>207</v>
      </c>
    </row>
    <row r="67" customFormat="false" ht="15" hidden="false" customHeight="false" outlineLevel="0" collapsed="false">
      <c r="A67" s="0" t="s">
        <v>53</v>
      </c>
      <c r="B67" s="0" t="s">
        <v>52</v>
      </c>
      <c r="C67" s="0" t="n">
        <v>2017</v>
      </c>
      <c r="D67" s="0" t="n">
        <v>-82</v>
      </c>
      <c r="E67" s="0" t="s">
        <v>206</v>
      </c>
      <c r="F67" s="25" t="b">
        <f aca="false">FALSE()</f>
        <v>0</v>
      </c>
      <c r="G67" s="25" t="b">
        <f aca="false">FALSE()</f>
        <v>0</v>
      </c>
      <c r="H67" s="0" t="s">
        <v>208</v>
      </c>
    </row>
    <row r="68" customFormat="false" ht="15" hidden="false" customHeight="false" outlineLevel="0" collapsed="false">
      <c r="A68" s="0" t="s">
        <v>53</v>
      </c>
      <c r="B68" s="0" t="s">
        <v>52</v>
      </c>
      <c r="C68" s="0" t="n">
        <v>2018</v>
      </c>
      <c r="D68" s="0" t="n">
        <v>-91</v>
      </c>
      <c r="E68" s="0" t="s">
        <v>206</v>
      </c>
      <c r="F68" s="25" t="b">
        <f aca="false">FALSE()</f>
        <v>0</v>
      </c>
      <c r="G68" s="25" t="b">
        <f aca="false">FALSE()</f>
        <v>0</v>
      </c>
      <c r="H68" s="0" t="s">
        <v>209</v>
      </c>
    </row>
    <row r="69" customFormat="false" ht="15" hidden="false" customHeight="false" outlineLevel="0" collapsed="false">
      <c r="A69" s="0" t="s">
        <v>53</v>
      </c>
      <c r="B69" s="0" t="s">
        <v>52</v>
      </c>
      <c r="C69" s="0" t="n">
        <v>2019</v>
      </c>
      <c r="D69" s="0" t="n">
        <v>-166</v>
      </c>
      <c r="E69" s="0" t="s">
        <v>206</v>
      </c>
      <c r="F69" s="25" t="b">
        <f aca="false">FALSE()</f>
        <v>0</v>
      </c>
      <c r="G69" s="25" t="b">
        <f aca="false">FALSE()</f>
        <v>0</v>
      </c>
      <c r="H69" s="0" t="s">
        <v>210</v>
      </c>
    </row>
    <row r="70" customFormat="false" ht="15" hidden="false" customHeight="false" outlineLevel="0" collapsed="false">
      <c r="A70" s="0" t="s">
        <v>53</v>
      </c>
      <c r="B70" s="0" t="s">
        <v>52</v>
      </c>
      <c r="C70" s="0" t="n">
        <v>2020</v>
      </c>
      <c r="D70" s="0" t="n">
        <v>-178</v>
      </c>
      <c r="E70" s="0" t="s">
        <v>206</v>
      </c>
      <c r="F70" s="25" t="b">
        <f aca="false">FALSE()</f>
        <v>0</v>
      </c>
      <c r="G70" s="25" t="b">
        <f aca="false">FALSE()</f>
        <v>0</v>
      </c>
      <c r="H70" s="0" t="s">
        <v>211</v>
      </c>
    </row>
    <row r="71" customFormat="false" ht="15" hidden="false" customHeight="false" outlineLevel="0" collapsed="false">
      <c r="A71" s="0" t="s">
        <v>53</v>
      </c>
      <c r="B71" s="0" t="s">
        <v>52</v>
      </c>
      <c r="C71" s="0" t="n">
        <v>2021</v>
      </c>
      <c r="D71" s="0" t="n">
        <v>-172</v>
      </c>
      <c r="E71" s="0" t="s">
        <v>206</v>
      </c>
      <c r="F71" s="25" t="b">
        <f aca="false">FALSE()</f>
        <v>0</v>
      </c>
      <c r="G71" s="25" t="b">
        <f aca="false">FALSE()</f>
        <v>0</v>
      </c>
      <c r="H71" s="0" t="s">
        <v>212</v>
      </c>
    </row>
    <row r="72" customFormat="false" ht="15" hidden="false" customHeight="false" outlineLevel="0" collapsed="false">
      <c r="A72" s="0" t="s">
        <v>53</v>
      </c>
      <c r="B72" s="0" t="s">
        <v>52</v>
      </c>
      <c r="C72" s="0" t="n">
        <v>2022</v>
      </c>
      <c r="D72" s="0" t="n">
        <v>-199</v>
      </c>
      <c r="E72" s="0" t="s">
        <v>206</v>
      </c>
      <c r="F72" s="25" t="b">
        <f aca="false">FALSE()</f>
        <v>0</v>
      </c>
      <c r="G72" s="25" t="b">
        <f aca="false">FALSE()</f>
        <v>0</v>
      </c>
      <c r="H72" s="0" t="s">
        <v>213</v>
      </c>
    </row>
    <row r="73" customFormat="false" ht="15" hidden="false" customHeight="false" outlineLevel="0" collapsed="false">
      <c r="A73" s="0" t="s">
        <v>53</v>
      </c>
      <c r="B73" s="0" t="s">
        <v>52</v>
      </c>
      <c r="C73" s="0" t="n">
        <v>2023</v>
      </c>
      <c r="D73" s="0" t="n">
        <v>-242</v>
      </c>
      <c r="E73" s="0" t="s">
        <v>206</v>
      </c>
      <c r="F73" s="25" t="b">
        <f aca="false">FALSE()</f>
        <v>0</v>
      </c>
      <c r="G73" s="25" t="b">
        <f aca="false">FALSE()</f>
        <v>0</v>
      </c>
      <c r="H73" s="0" t="s">
        <v>214</v>
      </c>
    </row>
    <row r="74" customFormat="false" ht="15" hidden="false" customHeight="false" outlineLevel="0" collapsed="false">
      <c r="A74" s="0" t="s">
        <v>51</v>
      </c>
      <c r="B74" s="0" t="s">
        <v>50</v>
      </c>
      <c r="C74" s="0" t="n">
        <v>2016</v>
      </c>
      <c r="D74" s="0" t="n">
        <v>20</v>
      </c>
      <c r="E74" s="0" t="s">
        <v>206</v>
      </c>
      <c r="F74" s="25" t="b">
        <f aca="false">FALSE()</f>
        <v>0</v>
      </c>
      <c r="G74" s="25" t="b">
        <f aca="false">FALSE()</f>
        <v>0</v>
      </c>
      <c r="H74" s="0" t="s">
        <v>215</v>
      </c>
    </row>
    <row r="75" customFormat="false" ht="15" hidden="false" customHeight="false" outlineLevel="0" collapsed="false">
      <c r="A75" s="0" t="s">
        <v>51</v>
      </c>
      <c r="B75" s="0" t="s">
        <v>50</v>
      </c>
      <c r="C75" s="0" t="n">
        <v>2017</v>
      </c>
      <c r="D75" s="0" t="n">
        <v>24</v>
      </c>
      <c r="E75" s="0" t="s">
        <v>206</v>
      </c>
      <c r="F75" s="25" t="b">
        <f aca="false">FALSE()</f>
        <v>0</v>
      </c>
      <c r="G75" s="25" t="b">
        <f aca="false">FALSE()</f>
        <v>0</v>
      </c>
      <c r="H75" s="0" t="s">
        <v>216</v>
      </c>
    </row>
    <row r="76" customFormat="false" ht="15" hidden="false" customHeight="false" outlineLevel="0" collapsed="false">
      <c r="A76" s="0" t="s">
        <v>51</v>
      </c>
      <c r="B76" s="0" t="s">
        <v>50</v>
      </c>
      <c r="C76" s="0" t="n">
        <v>2018</v>
      </c>
      <c r="D76" s="0" t="n">
        <v>28</v>
      </c>
      <c r="E76" s="0" t="s">
        <v>206</v>
      </c>
      <c r="F76" s="25" t="b">
        <f aca="false">FALSE()</f>
        <v>0</v>
      </c>
      <c r="G76" s="25" t="b">
        <f aca="false">FALSE()</f>
        <v>0</v>
      </c>
      <c r="H76" s="0" t="s">
        <v>217</v>
      </c>
    </row>
    <row r="77" customFormat="false" ht="15" hidden="false" customHeight="false" outlineLevel="0" collapsed="false">
      <c r="A77" s="0" t="s">
        <v>51</v>
      </c>
      <c r="B77" s="0" t="s">
        <v>50</v>
      </c>
      <c r="C77" s="0" t="n">
        <v>2019</v>
      </c>
      <c r="D77" s="0" t="n">
        <v>32</v>
      </c>
      <c r="E77" s="0" t="s">
        <v>206</v>
      </c>
      <c r="F77" s="25" t="b">
        <f aca="false">FALSE()</f>
        <v>0</v>
      </c>
      <c r="G77" s="25" t="b">
        <f aca="false">FALSE()</f>
        <v>0</v>
      </c>
      <c r="H77" s="0" t="s">
        <v>218</v>
      </c>
    </row>
    <row r="78" customFormat="false" ht="15" hidden="false" customHeight="false" outlineLevel="0" collapsed="false">
      <c r="A78" s="0" t="s">
        <v>51</v>
      </c>
      <c r="B78" s="0" t="s">
        <v>50</v>
      </c>
      <c r="C78" s="0" t="n">
        <v>2020</v>
      </c>
      <c r="D78" s="0" t="n">
        <v>26</v>
      </c>
      <c r="E78" s="0" t="s">
        <v>206</v>
      </c>
      <c r="F78" s="25" t="b">
        <f aca="false">FALSE()</f>
        <v>0</v>
      </c>
      <c r="G78" s="25" t="b">
        <f aca="false">FALSE()</f>
        <v>0</v>
      </c>
      <c r="H78" s="0" t="s">
        <v>219</v>
      </c>
    </row>
    <row r="79" customFormat="false" ht="15" hidden="false" customHeight="false" outlineLevel="0" collapsed="false">
      <c r="A79" s="0" t="s">
        <v>51</v>
      </c>
      <c r="B79" s="0" t="s">
        <v>50</v>
      </c>
      <c r="C79" s="0" t="n">
        <v>2021</v>
      </c>
      <c r="D79" s="0" t="n">
        <v>30</v>
      </c>
      <c r="E79" s="0" t="s">
        <v>206</v>
      </c>
      <c r="F79" s="25" t="b">
        <f aca="false">FALSE()</f>
        <v>0</v>
      </c>
      <c r="G79" s="25" t="b">
        <f aca="false">FALSE()</f>
        <v>0</v>
      </c>
      <c r="H79" s="0" t="s">
        <v>220</v>
      </c>
    </row>
    <row r="80" customFormat="false" ht="15" hidden="false" customHeight="false" outlineLevel="0" collapsed="false">
      <c r="A80" s="0" t="s">
        <v>51</v>
      </c>
      <c r="B80" s="0" t="s">
        <v>50</v>
      </c>
      <c r="C80" s="0" t="n">
        <v>2022</v>
      </c>
      <c r="D80" s="0" t="n">
        <v>44</v>
      </c>
      <c r="E80" s="0" t="s">
        <v>206</v>
      </c>
      <c r="F80" s="25" t="b">
        <f aca="false">FALSE()</f>
        <v>0</v>
      </c>
      <c r="G80" s="25" t="b">
        <f aca="false">FALSE()</f>
        <v>0</v>
      </c>
      <c r="H80" s="0" t="s">
        <v>221</v>
      </c>
    </row>
    <row r="81" customFormat="false" ht="15" hidden="false" customHeight="false" outlineLevel="0" collapsed="false">
      <c r="A81" s="0" t="s">
        <v>51</v>
      </c>
      <c r="B81" s="0" t="s">
        <v>50</v>
      </c>
      <c r="C81" s="0" t="n">
        <v>2023</v>
      </c>
      <c r="D81" s="0" t="n">
        <v>62</v>
      </c>
      <c r="E81" s="0" t="s">
        <v>206</v>
      </c>
      <c r="F81" s="25" t="b">
        <f aca="false">FALSE()</f>
        <v>0</v>
      </c>
      <c r="G81" s="25" t="b">
        <f aca="false">FALSE()</f>
        <v>0</v>
      </c>
      <c r="H81" s="0" t="s">
        <v>222</v>
      </c>
    </row>
    <row r="82" customFormat="false" ht="15" hidden="false" customHeight="false" outlineLevel="0" collapsed="false">
      <c r="A82" s="0" t="s">
        <v>39</v>
      </c>
      <c r="B82" s="0" t="s">
        <v>38</v>
      </c>
      <c r="C82" s="0" t="n">
        <v>2016</v>
      </c>
      <c r="D82" s="0" t="n">
        <v>-998</v>
      </c>
      <c r="E82" s="0" t="s">
        <v>146</v>
      </c>
      <c r="F82" s="25" t="b">
        <f aca="false">FALSE()</f>
        <v>0</v>
      </c>
      <c r="G82" s="25" t="b">
        <f aca="false">FALSE()</f>
        <v>0</v>
      </c>
      <c r="H82" s="0" t="s">
        <v>223</v>
      </c>
    </row>
    <row r="83" customFormat="false" ht="15" hidden="false" customHeight="false" outlineLevel="0" collapsed="false">
      <c r="A83" s="0" t="s">
        <v>39</v>
      </c>
      <c r="B83" s="0" t="s">
        <v>38</v>
      </c>
      <c r="C83" s="0" t="n">
        <v>2017</v>
      </c>
      <c r="D83" s="0" t="n">
        <v>-1125</v>
      </c>
      <c r="E83" s="0" t="s">
        <v>146</v>
      </c>
      <c r="F83" s="25" t="b">
        <f aca="false">FALSE()</f>
        <v>0</v>
      </c>
      <c r="G83" s="25" t="b">
        <f aca="false">FALSE()</f>
        <v>0</v>
      </c>
      <c r="H83" s="0" t="s">
        <v>224</v>
      </c>
    </row>
    <row r="84" customFormat="false" ht="15" hidden="false" customHeight="false" outlineLevel="0" collapsed="false">
      <c r="A84" s="0" t="s">
        <v>39</v>
      </c>
      <c r="B84" s="0" t="s">
        <v>38</v>
      </c>
      <c r="C84" s="0" t="n">
        <v>2018</v>
      </c>
      <c r="D84" s="0" t="n">
        <v>-1140</v>
      </c>
      <c r="E84" s="0" t="s">
        <v>146</v>
      </c>
      <c r="F84" s="25" t="b">
        <f aca="false">FALSE()</f>
        <v>0</v>
      </c>
      <c r="G84" s="25" t="b">
        <f aca="false">FALSE()</f>
        <v>0</v>
      </c>
      <c r="H84" s="0" t="s">
        <v>225</v>
      </c>
    </row>
    <row r="85" customFormat="false" ht="15" hidden="false" customHeight="false" outlineLevel="0" collapsed="false">
      <c r="A85" s="0" t="s">
        <v>39</v>
      </c>
      <c r="B85" s="0" t="s">
        <v>38</v>
      </c>
      <c r="C85" s="0" t="n">
        <v>2019</v>
      </c>
      <c r="D85" s="0" t="n">
        <v>-1347</v>
      </c>
      <c r="E85" s="0" t="s">
        <v>146</v>
      </c>
      <c r="F85" s="25" t="b">
        <f aca="false">FALSE()</f>
        <v>0</v>
      </c>
      <c r="G85" s="25" t="b">
        <f aca="false">FALSE()</f>
        <v>0</v>
      </c>
      <c r="H85" s="0" t="s">
        <v>226</v>
      </c>
    </row>
    <row r="86" customFormat="false" ht="15" hidden="false" customHeight="false" outlineLevel="0" collapsed="false">
      <c r="A86" s="0" t="s">
        <v>39</v>
      </c>
      <c r="B86" s="0" t="s">
        <v>38</v>
      </c>
      <c r="C86" s="0" t="n">
        <v>2020</v>
      </c>
      <c r="D86" s="0" t="n">
        <v>-1290</v>
      </c>
      <c r="E86" s="0" t="s">
        <v>146</v>
      </c>
      <c r="F86" s="25" t="b">
        <f aca="false">FALSE()</f>
        <v>0</v>
      </c>
      <c r="G86" s="25" t="b">
        <f aca="false">FALSE()</f>
        <v>0</v>
      </c>
      <c r="H86" s="0" t="s">
        <v>227</v>
      </c>
    </row>
    <row r="87" customFormat="false" ht="15" hidden="false" customHeight="false" outlineLevel="0" collapsed="false">
      <c r="A87" s="0" t="s">
        <v>39</v>
      </c>
      <c r="B87" s="0" t="s">
        <v>38</v>
      </c>
      <c r="C87" s="0" t="n">
        <v>2021</v>
      </c>
      <c r="D87" s="0" t="n">
        <v>-1295</v>
      </c>
      <c r="E87" s="0" t="s">
        <v>146</v>
      </c>
      <c r="F87" s="25" t="b">
        <f aca="false">FALSE()</f>
        <v>0</v>
      </c>
      <c r="G87" s="25" t="b">
        <f aca="false">FALSE()</f>
        <v>0</v>
      </c>
      <c r="H87" s="0" t="s">
        <v>228</v>
      </c>
    </row>
    <row r="88" customFormat="false" ht="15" hidden="false" customHeight="false" outlineLevel="0" collapsed="false">
      <c r="A88" s="0" t="s">
        <v>39</v>
      </c>
      <c r="B88" s="0" t="s">
        <v>38</v>
      </c>
      <c r="C88" s="0" t="n">
        <v>2022</v>
      </c>
      <c r="D88" s="0" t="n">
        <v>-1756</v>
      </c>
      <c r="E88" s="0" t="s">
        <v>146</v>
      </c>
      <c r="F88" s="25" t="b">
        <f aca="false">FALSE()</f>
        <v>0</v>
      </c>
      <c r="G88" s="25" t="b">
        <f aca="false">FALSE()</f>
        <v>0</v>
      </c>
      <c r="H88" s="0" t="s">
        <v>229</v>
      </c>
    </row>
    <row r="89" customFormat="false" ht="15" hidden="false" customHeight="false" outlineLevel="0" collapsed="false">
      <c r="A89" s="0" t="s">
        <v>39</v>
      </c>
      <c r="B89" s="0" t="s">
        <v>38</v>
      </c>
      <c r="C89" s="0" t="n">
        <v>2023</v>
      </c>
      <c r="D89" s="0" t="n">
        <v>-1564</v>
      </c>
      <c r="E89" s="0" t="s">
        <v>146</v>
      </c>
      <c r="F89" s="25" t="b">
        <f aca="false">FALSE()</f>
        <v>0</v>
      </c>
      <c r="G89" s="25" t="b">
        <f aca="false">FALSE()</f>
        <v>0</v>
      </c>
      <c r="H89" s="0" t="s">
        <v>230</v>
      </c>
    </row>
    <row r="90" customFormat="false" ht="15" hidden="false" customHeight="false" outlineLevel="0" collapsed="false">
      <c r="A90" s="0" t="s">
        <v>27</v>
      </c>
      <c r="B90" s="0" t="s">
        <v>26</v>
      </c>
      <c r="C90" s="0" t="n">
        <v>2016</v>
      </c>
      <c r="D90" s="0" t="n">
        <v>8983</v>
      </c>
      <c r="E90" s="0" t="s">
        <v>164</v>
      </c>
      <c r="F90" s="25" t="b">
        <f aca="false">TRUE()</f>
        <v>1</v>
      </c>
      <c r="G90" s="25" t="b">
        <f aca="false">FALSE()</f>
        <v>0</v>
      </c>
      <c r="H90" s="0" t="s">
        <v>231</v>
      </c>
    </row>
    <row r="91" customFormat="false" ht="15" hidden="false" customHeight="false" outlineLevel="0" collapsed="false">
      <c r="A91" s="0" t="s">
        <v>27</v>
      </c>
      <c r="B91" s="0" t="s">
        <v>26</v>
      </c>
      <c r="C91" s="0" t="n">
        <v>2017</v>
      </c>
      <c r="D91" s="0" t="n">
        <v>10694</v>
      </c>
      <c r="E91" s="0" t="s">
        <v>164</v>
      </c>
      <c r="F91" s="25" t="b">
        <f aca="false">TRUE()</f>
        <v>1</v>
      </c>
      <c r="G91" s="25" t="b">
        <f aca="false">FALSE()</f>
        <v>0</v>
      </c>
      <c r="H91" s="0" t="s">
        <v>232</v>
      </c>
    </row>
    <row r="92" customFormat="false" ht="15" hidden="false" customHeight="false" outlineLevel="0" collapsed="false">
      <c r="A92" s="0" t="s">
        <v>27</v>
      </c>
      <c r="B92" s="0" t="s">
        <v>26</v>
      </c>
      <c r="C92" s="0" t="n">
        <v>2018</v>
      </c>
      <c r="D92" s="0" t="n">
        <v>11308</v>
      </c>
      <c r="E92" s="0" t="s">
        <v>164</v>
      </c>
      <c r="F92" s="25" t="b">
        <f aca="false">TRUE()</f>
        <v>1</v>
      </c>
      <c r="G92" s="25" t="b">
        <f aca="false">FALSE()</f>
        <v>0</v>
      </c>
      <c r="H92" s="0" t="s">
        <v>233</v>
      </c>
    </row>
    <row r="93" customFormat="false" ht="15" hidden="false" customHeight="false" outlineLevel="0" collapsed="false">
      <c r="A93" s="0" t="s">
        <v>27</v>
      </c>
      <c r="B93" s="0" t="s">
        <v>26</v>
      </c>
      <c r="C93" s="0" t="n">
        <v>2019</v>
      </c>
      <c r="D93" s="0" t="n">
        <v>12293</v>
      </c>
      <c r="E93" s="0" t="s">
        <v>164</v>
      </c>
      <c r="F93" s="25" t="b">
        <f aca="false">TRUE()</f>
        <v>1</v>
      </c>
      <c r="G93" s="25" t="b">
        <f aca="false">FALSE()</f>
        <v>0</v>
      </c>
      <c r="H93" s="0" t="s">
        <v>234</v>
      </c>
    </row>
    <row r="94" customFormat="false" ht="15" hidden="false" customHeight="false" outlineLevel="0" collapsed="false">
      <c r="A94" s="0" t="s">
        <v>27</v>
      </c>
      <c r="B94" s="0" t="s">
        <v>26</v>
      </c>
      <c r="C94" s="0" t="n">
        <v>2020</v>
      </c>
      <c r="D94" s="0" t="n">
        <v>9862</v>
      </c>
      <c r="E94" s="0" t="s">
        <v>164</v>
      </c>
      <c r="F94" s="25" t="b">
        <f aca="false">TRUE()</f>
        <v>1</v>
      </c>
      <c r="G94" s="25" t="b">
        <f aca="false">FALSE()</f>
        <v>0</v>
      </c>
      <c r="H94" s="0" t="s">
        <v>235</v>
      </c>
    </row>
    <row r="95" customFormat="false" ht="15" hidden="false" customHeight="false" outlineLevel="0" collapsed="false">
      <c r="A95" s="0" t="s">
        <v>27</v>
      </c>
      <c r="B95" s="0" t="s">
        <v>26</v>
      </c>
      <c r="C95" s="0" t="n">
        <v>2021</v>
      </c>
      <c r="D95" s="0" t="n">
        <v>10723</v>
      </c>
      <c r="E95" s="0" t="s">
        <v>164</v>
      </c>
      <c r="F95" s="25" t="b">
        <f aca="false">TRUE()</f>
        <v>1</v>
      </c>
      <c r="G95" s="25" t="b">
        <f aca="false">FALSE()</f>
        <v>0</v>
      </c>
      <c r="H95" s="0" t="s">
        <v>236</v>
      </c>
    </row>
    <row r="96" customFormat="false" ht="15" hidden="false" customHeight="false" outlineLevel="0" collapsed="false">
      <c r="A96" s="0" t="s">
        <v>27</v>
      </c>
      <c r="B96" s="0" t="s">
        <v>26</v>
      </c>
      <c r="C96" s="0" t="n">
        <v>2022</v>
      </c>
      <c r="D96" s="0" t="n">
        <v>10648</v>
      </c>
      <c r="E96" s="0" t="s">
        <v>164</v>
      </c>
      <c r="F96" s="25" t="b">
        <f aca="false">TRUE()</f>
        <v>1</v>
      </c>
      <c r="G96" s="25" t="b">
        <f aca="false">FALSE()</f>
        <v>0</v>
      </c>
      <c r="H96" s="0" t="s">
        <v>237</v>
      </c>
    </row>
    <row r="97" customFormat="false" ht="15" hidden="false" customHeight="false" outlineLevel="0" collapsed="false">
      <c r="A97" s="0" t="s">
        <v>27</v>
      </c>
      <c r="B97" s="0" t="s">
        <v>26</v>
      </c>
      <c r="C97" s="0" t="n">
        <v>2023</v>
      </c>
      <c r="D97" s="0" t="n">
        <v>10178</v>
      </c>
      <c r="E97" s="0" t="s">
        <v>164</v>
      </c>
      <c r="F97" s="25" t="b">
        <f aca="false">TRUE()</f>
        <v>1</v>
      </c>
      <c r="G97" s="25" t="b">
        <f aca="false">FALSE()</f>
        <v>0</v>
      </c>
      <c r="H97" s="0" t="s">
        <v>238</v>
      </c>
    </row>
    <row r="98" customFormat="false" ht="15" hidden="false" customHeight="false" outlineLevel="0" collapsed="false">
      <c r="A98" s="0" t="s">
        <v>29</v>
      </c>
      <c r="B98" s="0" t="s">
        <v>28</v>
      </c>
      <c r="C98" s="0" t="n">
        <v>2016</v>
      </c>
      <c r="D98" s="0" t="n">
        <v>0.486</v>
      </c>
      <c r="E98" s="0" t="s">
        <v>197</v>
      </c>
      <c r="F98" s="25" t="b">
        <f aca="false">FALSE()</f>
        <v>0</v>
      </c>
      <c r="G98" s="25" t="b">
        <f aca="false">TRUE()</f>
        <v>1</v>
      </c>
      <c r="H98" s="0" t="s">
        <v>239</v>
      </c>
    </row>
    <row r="99" customFormat="false" ht="15" hidden="false" customHeight="false" outlineLevel="0" collapsed="false">
      <c r="A99" s="0" t="s">
        <v>29</v>
      </c>
      <c r="B99" s="0" t="s">
        <v>28</v>
      </c>
      <c r="C99" s="0" t="n">
        <v>2017</v>
      </c>
      <c r="D99" s="0" t="n">
        <v>0.504</v>
      </c>
      <c r="E99" s="0" t="s">
        <v>197</v>
      </c>
      <c r="F99" s="25" t="b">
        <f aca="false">FALSE()</f>
        <v>0</v>
      </c>
      <c r="G99" s="25" t="b">
        <f aca="false">TRUE()</f>
        <v>1</v>
      </c>
      <c r="H99" s="0" t="s">
        <v>240</v>
      </c>
    </row>
    <row r="100" customFormat="false" ht="15" hidden="false" customHeight="false" outlineLevel="0" collapsed="false">
      <c r="A100" s="0" t="s">
        <v>29</v>
      </c>
      <c r="B100" s="0" t="s">
        <v>28</v>
      </c>
      <c r="C100" s="0" t="n">
        <v>2018</v>
      </c>
      <c r="D100" s="0" t="n">
        <v>0.516</v>
      </c>
      <c r="E100" s="0" t="s">
        <v>197</v>
      </c>
      <c r="F100" s="25" t="b">
        <f aca="false">FALSE()</f>
        <v>0</v>
      </c>
      <c r="G100" s="25" t="b">
        <f aca="false">TRUE()</f>
        <v>1</v>
      </c>
      <c r="H100" s="0" t="s">
        <v>241</v>
      </c>
    </row>
    <row r="101" customFormat="false" ht="15" hidden="false" customHeight="false" outlineLevel="0" collapsed="false">
      <c r="A101" s="0" t="s">
        <v>29</v>
      </c>
      <c r="B101" s="0" t="s">
        <v>28</v>
      </c>
      <c r="C101" s="0" t="n">
        <v>2019</v>
      </c>
      <c r="D101" s="0" t="n">
        <v>0.52</v>
      </c>
      <c r="E101" s="0" t="s">
        <v>197</v>
      </c>
      <c r="F101" s="25" t="b">
        <f aca="false">FALSE()</f>
        <v>0</v>
      </c>
      <c r="G101" s="25" t="b">
        <f aca="false">TRUE()</f>
        <v>1</v>
      </c>
      <c r="H101" s="0" t="s">
        <v>242</v>
      </c>
    </row>
    <row r="102" customFormat="false" ht="15" hidden="false" customHeight="false" outlineLevel="0" collapsed="false">
      <c r="A102" s="0" t="s">
        <v>29</v>
      </c>
      <c r="B102" s="0" t="s">
        <v>28</v>
      </c>
      <c r="C102" s="0" t="n">
        <v>2020</v>
      </c>
      <c r="D102" s="0" t="n">
        <v>0.497</v>
      </c>
      <c r="E102" s="0" t="s">
        <v>197</v>
      </c>
      <c r="F102" s="25" t="b">
        <f aca="false">FALSE()</f>
        <v>0</v>
      </c>
      <c r="G102" s="25" t="b">
        <f aca="false">TRUE()</f>
        <v>1</v>
      </c>
      <c r="H102" s="0" t="s">
        <v>243</v>
      </c>
    </row>
    <row r="103" customFormat="false" ht="15" hidden="false" customHeight="false" outlineLevel="0" collapsed="false">
      <c r="A103" s="0" t="s">
        <v>29</v>
      </c>
      <c r="B103" s="0" t="s">
        <v>28</v>
      </c>
      <c r="C103" s="0" t="n">
        <v>2021</v>
      </c>
      <c r="D103" s="0" t="n">
        <v>0.505</v>
      </c>
      <c r="E103" s="0" t="s">
        <v>197</v>
      </c>
      <c r="F103" s="25" t="b">
        <f aca="false">FALSE()</f>
        <v>0</v>
      </c>
      <c r="G103" s="25" t="b">
        <f aca="false">TRUE()</f>
        <v>1</v>
      </c>
      <c r="H103" s="0" t="s">
        <v>244</v>
      </c>
    </row>
    <row r="104" customFormat="false" ht="15" hidden="false" customHeight="false" outlineLevel="0" collapsed="false">
      <c r="A104" s="0" t="s">
        <v>29</v>
      </c>
      <c r="B104" s="0" t="s">
        <v>28</v>
      </c>
      <c r="C104" s="0" t="n">
        <v>2022</v>
      </c>
      <c r="D104" s="0" t="n">
        <v>0.473</v>
      </c>
      <c r="E104" s="0" t="s">
        <v>197</v>
      </c>
      <c r="F104" s="25" t="b">
        <f aca="false">FALSE()</f>
        <v>0</v>
      </c>
      <c r="G104" s="25" t="b">
        <f aca="false">TRUE()</f>
        <v>1</v>
      </c>
      <c r="H104" s="0" t="s">
        <v>245</v>
      </c>
    </row>
    <row r="105" customFormat="false" ht="15" hidden="false" customHeight="false" outlineLevel="0" collapsed="false">
      <c r="A105" s="0" t="s">
        <v>29</v>
      </c>
      <c r="B105" s="0" t="s">
        <v>28</v>
      </c>
      <c r="C105" s="0" t="n">
        <v>2023</v>
      </c>
      <c r="D105" s="0" t="n">
        <v>0.475</v>
      </c>
      <c r="E105" s="0" t="s">
        <v>197</v>
      </c>
      <c r="F105" s="25" t="b">
        <f aca="false">FALSE()</f>
        <v>0</v>
      </c>
      <c r="G105" s="25" t="b">
        <f aca="false">TRUE()</f>
        <v>1</v>
      </c>
      <c r="H105" s="0" t="s">
        <v>246</v>
      </c>
    </row>
    <row r="106" customFormat="false" ht="15" hidden="false" customHeight="false" outlineLevel="0" collapsed="false">
      <c r="A106" s="0" t="s">
        <v>45</v>
      </c>
      <c r="B106" s="0" t="s">
        <v>44</v>
      </c>
      <c r="C106" s="0" t="n">
        <v>2016</v>
      </c>
      <c r="E106" s="0" t="s">
        <v>146</v>
      </c>
      <c r="F106" s="25" t="b">
        <f aca="false">FALSE()</f>
        <v>0</v>
      </c>
      <c r="G106" s="25" t="b">
        <f aca="false">FALSE()</f>
        <v>0</v>
      </c>
      <c r="H106" s="0" t="s">
        <v>247</v>
      </c>
    </row>
    <row r="107" customFormat="false" ht="15" hidden="false" customHeight="false" outlineLevel="0" collapsed="false">
      <c r="A107" s="0" t="s">
        <v>45</v>
      </c>
      <c r="B107" s="0" t="s">
        <v>44</v>
      </c>
      <c r="C107" s="0" t="n">
        <v>2017</v>
      </c>
      <c r="E107" s="0" t="s">
        <v>146</v>
      </c>
      <c r="F107" s="25" t="b">
        <f aca="false">FALSE()</f>
        <v>0</v>
      </c>
      <c r="G107" s="25" t="b">
        <f aca="false">FALSE()</f>
        <v>0</v>
      </c>
      <c r="H107" s="0" t="s">
        <v>248</v>
      </c>
    </row>
    <row r="108" customFormat="false" ht="15" hidden="false" customHeight="false" outlineLevel="0" collapsed="false">
      <c r="A108" s="0" t="s">
        <v>45</v>
      </c>
      <c r="B108" s="0" t="s">
        <v>44</v>
      </c>
      <c r="C108" s="0" t="n">
        <v>2018</v>
      </c>
      <c r="E108" s="0" t="s">
        <v>146</v>
      </c>
      <c r="F108" s="25" t="b">
        <f aca="false">FALSE()</f>
        <v>0</v>
      </c>
      <c r="G108" s="25" t="b">
        <f aca="false">FALSE()</f>
        <v>0</v>
      </c>
      <c r="H108" s="0" t="s">
        <v>249</v>
      </c>
    </row>
    <row r="109" customFormat="false" ht="15" hidden="false" customHeight="false" outlineLevel="0" collapsed="false">
      <c r="A109" s="0" t="s">
        <v>45</v>
      </c>
      <c r="B109" s="0" t="s">
        <v>44</v>
      </c>
      <c r="C109" s="0" t="n">
        <v>2019</v>
      </c>
      <c r="E109" s="0" t="s">
        <v>146</v>
      </c>
      <c r="F109" s="25" t="b">
        <f aca="false">FALSE()</f>
        <v>0</v>
      </c>
      <c r="G109" s="25" t="b">
        <f aca="false">FALSE()</f>
        <v>0</v>
      </c>
      <c r="H109" s="0" t="s">
        <v>250</v>
      </c>
    </row>
    <row r="110" customFormat="false" ht="15" hidden="false" customHeight="false" outlineLevel="0" collapsed="false">
      <c r="A110" s="0" t="s">
        <v>45</v>
      </c>
      <c r="B110" s="0" t="s">
        <v>44</v>
      </c>
      <c r="C110" s="0" t="n">
        <v>2020</v>
      </c>
      <c r="E110" s="0" t="s">
        <v>146</v>
      </c>
      <c r="F110" s="25" t="b">
        <f aca="false">FALSE()</f>
        <v>0</v>
      </c>
      <c r="G110" s="25" t="b">
        <f aca="false">FALSE()</f>
        <v>0</v>
      </c>
      <c r="H110" s="0" t="s">
        <v>251</v>
      </c>
    </row>
    <row r="111" customFormat="false" ht="15" hidden="false" customHeight="false" outlineLevel="0" collapsed="false">
      <c r="A111" s="0" t="s">
        <v>45</v>
      </c>
      <c r="B111" s="0" t="s">
        <v>44</v>
      </c>
      <c r="C111" s="0" t="n">
        <v>2021</v>
      </c>
      <c r="E111" s="0" t="s">
        <v>146</v>
      </c>
      <c r="F111" s="25" t="b">
        <f aca="false">FALSE()</f>
        <v>0</v>
      </c>
      <c r="G111" s="25" t="b">
        <f aca="false">FALSE()</f>
        <v>0</v>
      </c>
      <c r="H111" s="0" t="s">
        <v>252</v>
      </c>
    </row>
    <row r="112" customFormat="false" ht="15" hidden="false" customHeight="false" outlineLevel="0" collapsed="false">
      <c r="A112" s="0" t="s">
        <v>45</v>
      </c>
      <c r="B112" s="0" t="s">
        <v>44</v>
      </c>
      <c r="C112" s="0" t="n">
        <v>2022</v>
      </c>
      <c r="D112" s="0" t="n">
        <v>-194</v>
      </c>
      <c r="E112" s="0" t="s">
        <v>146</v>
      </c>
      <c r="F112" s="25" t="b">
        <f aca="false">FALSE()</f>
        <v>0</v>
      </c>
      <c r="G112" s="25" t="b">
        <f aca="false">FALSE()</f>
        <v>0</v>
      </c>
      <c r="H112" s="0" t="s">
        <v>253</v>
      </c>
    </row>
    <row r="113" customFormat="false" ht="15" hidden="false" customHeight="false" outlineLevel="0" collapsed="false">
      <c r="A113" s="0" t="s">
        <v>45</v>
      </c>
      <c r="B113" s="0" t="s">
        <v>44</v>
      </c>
      <c r="C113" s="0" t="n">
        <v>2023</v>
      </c>
      <c r="E113" s="0" t="s">
        <v>146</v>
      </c>
      <c r="F113" s="25" t="b">
        <f aca="false">FALSE()</f>
        <v>0</v>
      </c>
      <c r="G113" s="25" t="b">
        <f aca="false">FALSE()</f>
        <v>0</v>
      </c>
      <c r="H113" s="0" t="s">
        <v>254</v>
      </c>
    </row>
    <row r="114" customFormat="false" ht="15" hidden="false" customHeight="false" outlineLevel="0" collapsed="false">
      <c r="A114" s="0" t="s">
        <v>67</v>
      </c>
      <c r="B114" s="0" t="s">
        <v>66</v>
      </c>
      <c r="C114" s="0" t="n">
        <v>2016</v>
      </c>
      <c r="D114" s="0" t="n">
        <v>-12</v>
      </c>
      <c r="E114" s="0" t="s">
        <v>164</v>
      </c>
      <c r="F114" s="25" t="b">
        <f aca="false">FALSE()</f>
        <v>0</v>
      </c>
      <c r="G114" s="25" t="b">
        <f aca="false">FALSE()</f>
        <v>0</v>
      </c>
      <c r="H114" s="0" t="s">
        <v>255</v>
      </c>
    </row>
    <row r="115" customFormat="false" ht="15" hidden="false" customHeight="false" outlineLevel="0" collapsed="false">
      <c r="A115" s="0" t="s">
        <v>67</v>
      </c>
      <c r="B115" s="0" t="s">
        <v>66</v>
      </c>
      <c r="C115" s="0" t="n">
        <v>2017</v>
      </c>
      <c r="D115" s="0" t="n">
        <v>-14</v>
      </c>
      <c r="E115" s="0" t="s">
        <v>164</v>
      </c>
      <c r="F115" s="25" t="b">
        <f aca="false">FALSE()</f>
        <v>0</v>
      </c>
      <c r="G115" s="25" t="b">
        <f aca="false">FALSE()</f>
        <v>0</v>
      </c>
      <c r="H115" s="0" t="s">
        <v>256</v>
      </c>
    </row>
    <row r="116" customFormat="false" ht="15" hidden="false" customHeight="false" outlineLevel="0" collapsed="false">
      <c r="A116" s="0" t="s">
        <v>67</v>
      </c>
      <c r="B116" s="0" t="s">
        <v>66</v>
      </c>
      <c r="C116" s="0" t="n">
        <v>2018</v>
      </c>
      <c r="D116" s="0" t="n">
        <v>-11</v>
      </c>
      <c r="E116" s="0" t="s">
        <v>164</v>
      </c>
      <c r="F116" s="25" t="b">
        <f aca="false">FALSE()</f>
        <v>0</v>
      </c>
      <c r="G116" s="25" t="b">
        <f aca="false">FALSE()</f>
        <v>0</v>
      </c>
      <c r="H116" s="0" t="s">
        <v>257</v>
      </c>
    </row>
    <row r="117" customFormat="false" ht="15" hidden="false" customHeight="false" outlineLevel="0" collapsed="false">
      <c r="A117" s="0" t="s">
        <v>67</v>
      </c>
      <c r="B117" s="0" t="s">
        <v>66</v>
      </c>
      <c r="C117" s="0" t="n">
        <v>2019</v>
      </c>
      <c r="D117" s="0" t="n">
        <v>-9</v>
      </c>
      <c r="E117" s="0" t="s">
        <v>164</v>
      </c>
      <c r="F117" s="25" t="b">
        <f aca="false">FALSE()</f>
        <v>0</v>
      </c>
      <c r="G117" s="25" t="b">
        <f aca="false">FALSE()</f>
        <v>0</v>
      </c>
      <c r="H117" s="0" t="s">
        <v>258</v>
      </c>
    </row>
    <row r="118" customFormat="false" ht="15" hidden="false" customHeight="false" outlineLevel="0" collapsed="false">
      <c r="A118" s="0" t="s">
        <v>67</v>
      </c>
      <c r="B118" s="0" t="s">
        <v>66</v>
      </c>
      <c r="C118" s="0" t="n">
        <v>2020</v>
      </c>
      <c r="D118" s="0" t="n">
        <v>-6</v>
      </c>
      <c r="E118" s="0" t="s">
        <v>164</v>
      </c>
      <c r="F118" s="25" t="b">
        <f aca="false">FALSE()</f>
        <v>0</v>
      </c>
      <c r="G118" s="25" t="b">
        <f aca="false">FALSE()</f>
        <v>0</v>
      </c>
      <c r="H118" s="0" t="s">
        <v>259</v>
      </c>
    </row>
    <row r="119" customFormat="false" ht="15" hidden="false" customHeight="false" outlineLevel="0" collapsed="false">
      <c r="A119" s="0" t="s">
        <v>67</v>
      </c>
      <c r="B119" s="0" t="s">
        <v>66</v>
      </c>
      <c r="C119" s="0" t="n">
        <v>2021</v>
      </c>
      <c r="D119" s="0" t="n">
        <v>-8</v>
      </c>
      <c r="E119" s="0" t="s">
        <v>164</v>
      </c>
      <c r="F119" s="25" t="b">
        <f aca="false">FALSE()</f>
        <v>0</v>
      </c>
      <c r="G119" s="25" t="b">
        <f aca="false">FALSE()</f>
        <v>0</v>
      </c>
      <c r="H119" s="0" t="s">
        <v>260</v>
      </c>
    </row>
    <row r="120" customFormat="false" ht="15" hidden="false" customHeight="false" outlineLevel="0" collapsed="false">
      <c r="A120" s="0" t="s">
        <v>67</v>
      </c>
      <c r="B120" s="0" t="s">
        <v>66</v>
      </c>
      <c r="C120" s="0" t="n">
        <v>2022</v>
      </c>
      <c r="D120" s="0" t="n">
        <v>-8</v>
      </c>
      <c r="E120" s="0" t="s">
        <v>164</v>
      </c>
      <c r="F120" s="25" t="b">
        <f aca="false">FALSE()</f>
        <v>0</v>
      </c>
      <c r="G120" s="25" t="b">
        <f aca="false">FALSE()</f>
        <v>0</v>
      </c>
      <c r="H120" s="0" t="s">
        <v>261</v>
      </c>
    </row>
    <row r="121" customFormat="false" ht="15" hidden="false" customHeight="false" outlineLevel="0" collapsed="false">
      <c r="A121" s="0" t="s">
        <v>67</v>
      </c>
      <c r="B121" s="0" t="s">
        <v>66</v>
      </c>
      <c r="C121" s="0" t="n">
        <v>2023</v>
      </c>
      <c r="D121" s="0" t="n">
        <v>-7</v>
      </c>
      <c r="E121" s="0" t="s">
        <v>164</v>
      </c>
      <c r="F121" s="25" t="b">
        <f aca="false">FALSE()</f>
        <v>0</v>
      </c>
      <c r="G121" s="25" t="b">
        <f aca="false">FALSE()</f>
        <v>0</v>
      </c>
      <c r="H121" s="0" t="s">
        <v>262</v>
      </c>
    </row>
    <row r="122" customFormat="false" ht="15" hidden="false" customHeight="false" outlineLevel="0" collapsed="false">
      <c r="A122" s="0" t="s">
        <v>35</v>
      </c>
      <c r="B122" s="0" t="s">
        <v>34</v>
      </c>
      <c r="C122" s="0" t="n">
        <v>2016</v>
      </c>
      <c r="D122" s="0" t="n">
        <v>-2532</v>
      </c>
      <c r="E122" s="0" t="s">
        <v>146</v>
      </c>
      <c r="F122" s="25" t="b">
        <f aca="false">FALSE()</f>
        <v>0</v>
      </c>
      <c r="G122" s="25" t="b">
        <f aca="false">FALSE()</f>
        <v>0</v>
      </c>
      <c r="H122" s="0" t="s">
        <v>263</v>
      </c>
    </row>
    <row r="123" customFormat="false" ht="15" hidden="false" customHeight="false" outlineLevel="0" collapsed="false">
      <c r="A123" s="0" t="s">
        <v>35</v>
      </c>
      <c r="B123" s="0" t="s">
        <v>34</v>
      </c>
      <c r="C123" s="0" t="n">
        <v>2017</v>
      </c>
      <c r="D123" s="0" t="n">
        <v>-2843</v>
      </c>
      <c r="E123" s="0" t="s">
        <v>146</v>
      </c>
      <c r="F123" s="25" t="b">
        <f aca="false">FALSE()</f>
        <v>0</v>
      </c>
      <c r="G123" s="25" t="b">
        <f aca="false">FALSE()</f>
        <v>0</v>
      </c>
      <c r="H123" s="0" t="s">
        <v>264</v>
      </c>
    </row>
    <row r="124" customFormat="false" ht="15" hidden="false" customHeight="false" outlineLevel="0" collapsed="false">
      <c r="A124" s="0" t="s">
        <v>35</v>
      </c>
      <c r="B124" s="0" t="s">
        <v>34</v>
      </c>
      <c r="C124" s="0" t="n">
        <v>2018</v>
      </c>
      <c r="D124" s="0" t="n">
        <v>-2871</v>
      </c>
      <c r="E124" s="0" t="s">
        <v>146</v>
      </c>
      <c r="F124" s="25" t="b">
        <f aca="false">FALSE()</f>
        <v>0</v>
      </c>
      <c r="G124" s="25" t="b">
        <f aca="false">FALSE()</f>
        <v>0</v>
      </c>
      <c r="H124" s="0" t="s">
        <v>265</v>
      </c>
    </row>
    <row r="125" customFormat="false" ht="15" hidden="false" customHeight="false" outlineLevel="0" collapsed="false">
      <c r="A125" s="0" t="s">
        <v>35</v>
      </c>
      <c r="B125" s="0" t="s">
        <v>34</v>
      </c>
      <c r="C125" s="0" t="n">
        <v>2019</v>
      </c>
      <c r="D125" s="0" t="n">
        <v>-3026</v>
      </c>
      <c r="E125" s="0" t="s">
        <v>146</v>
      </c>
      <c r="F125" s="25" t="b">
        <f aca="false">FALSE()</f>
        <v>0</v>
      </c>
      <c r="G125" s="25" t="b">
        <f aca="false">FALSE()</f>
        <v>0</v>
      </c>
      <c r="H125" s="0" t="s">
        <v>266</v>
      </c>
    </row>
    <row r="126" customFormat="false" ht="15" hidden="false" customHeight="false" outlineLevel="0" collapsed="false">
      <c r="A126" s="0" t="s">
        <v>35</v>
      </c>
      <c r="B126" s="0" t="s">
        <v>34</v>
      </c>
      <c r="C126" s="0" t="n">
        <v>2020</v>
      </c>
      <c r="D126" s="0" t="n">
        <v>-2361</v>
      </c>
      <c r="E126" s="0" t="s">
        <v>146</v>
      </c>
      <c r="F126" s="25" t="b">
        <f aca="false">FALSE()</f>
        <v>0</v>
      </c>
      <c r="G126" s="25" t="b">
        <f aca="false">FALSE()</f>
        <v>0</v>
      </c>
      <c r="H126" s="0" t="s">
        <v>267</v>
      </c>
    </row>
    <row r="127" customFormat="false" ht="15" hidden="false" customHeight="false" outlineLevel="0" collapsed="false">
      <c r="A127" s="0" t="s">
        <v>35</v>
      </c>
      <c r="B127" s="0" t="s">
        <v>34</v>
      </c>
      <c r="C127" s="0" t="n">
        <v>2021</v>
      </c>
      <c r="D127" s="0" t="n">
        <v>-2569</v>
      </c>
      <c r="E127" s="0" t="s">
        <v>146</v>
      </c>
      <c r="F127" s="25" t="b">
        <f aca="false">FALSE()</f>
        <v>0</v>
      </c>
      <c r="G127" s="25" t="b">
        <f aca="false">FALSE()</f>
        <v>0</v>
      </c>
      <c r="H127" s="0" t="s">
        <v>268</v>
      </c>
    </row>
    <row r="128" customFormat="false" ht="15" hidden="false" customHeight="false" outlineLevel="0" collapsed="false">
      <c r="A128" s="0" t="s">
        <v>35</v>
      </c>
      <c r="B128" s="0" t="s">
        <v>34</v>
      </c>
      <c r="C128" s="0" t="n">
        <v>2022</v>
      </c>
      <c r="D128" s="0" t="n">
        <v>-2791</v>
      </c>
      <c r="E128" s="0" t="s">
        <v>146</v>
      </c>
      <c r="F128" s="25" t="b">
        <f aca="false">FALSE()</f>
        <v>0</v>
      </c>
      <c r="G128" s="25" t="b">
        <f aca="false">FALSE()</f>
        <v>0</v>
      </c>
      <c r="H128" s="0" t="s">
        <v>269</v>
      </c>
    </row>
    <row r="129" customFormat="false" ht="15" hidden="false" customHeight="false" outlineLevel="0" collapsed="false">
      <c r="A129" s="0" t="s">
        <v>35</v>
      </c>
      <c r="B129" s="0" t="s">
        <v>34</v>
      </c>
      <c r="C129" s="0" t="n">
        <v>2023</v>
      </c>
      <c r="D129" s="0" t="n">
        <v>-2636</v>
      </c>
      <c r="E129" s="0" t="s">
        <v>146</v>
      </c>
      <c r="F129" s="25" t="b">
        <f aca="false">FALSE()</f>
        <v>0</v>
      </c>
      <c r="G129" s="25" t="b">
        <f aca="false">FALSE()</f>
        <v>0</v>
      </c>
      <c r="H129" s="0" t="s">
        <v>270</v>
      </c>
    </row>
    <row r="130" customFormat="false" ht="15" hidden="false" customHeight="false" outlineLevel="0" collapsed="false">
      <c r="A130" s="0" t="s">
        <v>65</v>
      </c>
      <c r="B130" s="0" t="s">
        <v>64</v>
      </c>
      <c r="C130" s="0" t="n">
        <v>2016</v>
      </c>
      <c r="D130" s="0" t="n">
        <v>961</v>
      </c>
      <c r="E130" s="0" t="s">
        <v>164</v>
      </c>
      <c r="F130" s="25" t="b">
        <f aca="false">TRUE()</f>
        <v>1</v>
      </c>
      <c r="G130" s="25" t="b">
        <f aca="false">FALSE()</f>
        <v>0</v>
      </c>
      <c r="H130" s="0" t="s">
        <v>271</v>
      </c>
    </row>
    <row r="131" customFormat="false" ht="15" hidden="false" customHeight="false" outlineLevel="0" collapsed="false">
      <c r="A131" s="0" t="s">
        <v>65</v>
      </c>
      <c r="B131" s="0" t="s">
        <v>64</v>
      </c>
      <c r="C131" s="0" t="n">
        <v>2017</v>
      </c>
      <c r="D131" s="0" t="n">
        <v>1387</v>
      </c>
      <c r="E131" s="0" t="s">
        <v>164</v>
      </c>
      <c r="F131" s="25" t="b">
        <f aca="false">TRUE()</f>
        <v>1</v>
      </c>
      <c r="G131" s="25" t="b">
        <f aca="false">FALSE()</f>
        <v>0</v>
      </c>
      <c r="H131" s="0" t="s">
        <v>272</v>
      </c>
    </row>
    <row r="132" customFormat="false" ht="15" hidden="false" customHeight="false" outlineLevel="0" collapsed="false">
      <c r="A132" s="0" t="s">
        <v>65</v>
      </c>
      <c r="B132" s="0" t="s">
        <v>64</v>
      </c>
      <c r="C132" s="0" t="n">
        <v>2018</v>
      </c>
      <c r="D132" s="0" t="n">
        <v>1701</v>
      </c>
      <c r="E132" s="0" t="s">
        <v>164</v>
      </c>
      <c r="F132" s="25" t="b">
        <f aca="false">TRUE()</f>
        <v>1</v>
      </c>
      <c r="G132" s="25" t="b">
        <f aca="false">FALSE()</f>
        <v>0</v>
      </c>
      <c r="H132" s="0" t="s">
        <v>273</v>
      </c>
    </row>
    <row r="133" customFormat="false" ht="15" hidden="false" customHeight="false" outlineLevel="0" collapsed="false">
      <c r="A133" s="0" t="s">
        <v>65</v>
      </c>
      <c r="B133" s="0" t="s">
        <v>64</v>
      </c>
      <c r="C133" s="0" t="n">
        <v>2019</v>
      </c>
      <c r="D133" s="0" t="n">
        <v>1864</v>
      </c>
      <c r="E133" s="0" t="s">
        <v>164</v>
      </c>
      <c r="F133" s="25" t="b">
        <f aca="false">TRUE()</f>
        <v>1</v>
      </c>
      <c r="G133" s="25" t="b">
        <f aca="false">FALSE()</f>
        <v>0</v>
      </c>
      <c r="H133" s="0" t="s">
        <v>274</v>
      </c>
    </row>
    <row r="134" customFormat="false" ht="15" hidden="false" customHeight="false" outlineLevel="0" collapsed="false">
      <c r="A134" s="0" t="s">
        <v>65</v>
      </c>
      <c r="B134" s="0" t="s">
        <v>64</v>
      </c>
      <c r="C134" s="0" t="n">
        <v>2020</v>
      </c>
      <c r="D134" s="0" t="n">
        <v>353</v>
      </c>
      <c r="E134" s="0" t="s">
        <v>164</v>
      </c>
      <c r="F134" s="25" t="b">
        <f aca="false">TRUE()</f>
        <v>1</v>
      </c>
      <c r="G134" s="25" t="b">
        <f aca="false">FALSE()</f>
        <v>0</v>
      </c>
      <c r="H134" s="0" t="s">
        <v>275</v>
      </c>
    </row>
    <row r="135" customFormat="false" ht="15" hidden="false" customHeight="false" outlineLevel="0" collapsed="false">
      <c r="A135" s="0" t="s">
        <v>65</v>
      </c>
      <c r="B135" s="0" t="s">
        <v>64</v>
      </c>
      <c r="C135" s="0" t="n">
        <v>2021</v>
      </c>
      <c r="D135" s="0" t="n">
        <v>1455</v>
      </c>
      <c r="E135" s="0" t="s">
        <v>164</v>
      </c>
      <c r="F135" s="25" t="b">
        <f aca="false">TRUE()</f>
        <v>1</v>
      </c>
      <c r="G135" s="25" t="b">
        <f aca="false">FALSE()</f>
        <v>0</v>
      </c>
      <c r="H135" s="0" t="s">
        <v>276</v>
      </c>
    </row>
    <row r="136" customFormat="false" ht="15" hidden="false" customHeight="false" outlineLevel="0" collapsed="false">
      <c r="A136" s="0" t="s">
        <v>65</v>
      </c>
      <c r="B136" s="0" t="s">
        <v>64</v>
      </c>
      <c r="C136" s="0" t="n">
        <v>2022</v>
      </c>
      <c r="D136" s="0" t="n">
        <v>58</v>
      </c>
      <c r="E136" s="0" t="s">
        <v>164</v>
      </c>
      <c r="F136" s="25" t="b">
        <f aca="false">TRUE()</f>
        <v>1</v>
      </c>
      <c r="G136" s="25" t="b">
        <f aca="false">FALSE()</f>
        <v>0</v>
      </c>
      <c r="H136" s="0" t="s">
        <v>277</v>
      </c>
    </row>
    <row r="137" customFormat="false" ht="15" hidden="false" customHeight="false" outlineLevel="0" collapsed="false">
      <c r="A137" s="0" t="s">
        <v>65</v>
      </c>
      <c r="B137" s="0" t="s">
        <v>64</v>
      </c>
      <c r="C137" s="0" t="n">
        <v>2023</v>
      </c>
      <c r="D137" s="0" t="n">
        <v>-26</v>
      </c>
      <c r="E137" s="0" t="s">
        <v>164</v>
      </c>
      <c r="F137" s="25" t="b">
        <f aca="false">TRUE()</f>
        <v>1</v>
      </c>
      <c r="G137" s="25" t="b">
        <f aca="false">FALSE()</f>
        <v>0</v>
      </c>
      <c r="H137" s="0" t="s">
        <v>278</v>
      </c>
    </row>
    <row r="138" customFormat="false" ht="15" hidden="false" customHeight="false" outlineLevel="0" collapsed="false">
      <c r="A138" s="0" t="s">
        <v>61</v>
      </c>
      <c r="B138" s="0" t="s">
        <v>60</v>
      </c>
      <c r="C138" s="0" t="n">
        <v>2016</v>
      </c>
      <c r="D138" s="0" t="n">
        <v>961</v>
      </c>
      <c r="E138" s="0" t="s">
        <v>164</v>
      </c>
      <c r="F138" s="25" t="b">
        <f aca="false">TRUE()</f>
        <v>1</v>
      </c>
      <c r="G138" s="25" t="b">
        <f aca="false">FALSE()</f>
        <v>0</v>
      </c>
      <c r="H138" s="0" t="s">
        <v>279</v>
      </c>
    </row>
    <row r="139" customFormat="false" ht="15" hidden="false" customHeight="false" outlineLevel="0" collapsed="false">
      <c r="A139" s="0" t="s">
        <v>61</v>
      </c>
      <c r="B139" s="0" t="s">
        <v>60</v>
      </c>
      <c r="C139" s="0" t="n">
        <v>2017</v>
      </c>
      <c r="D139" s="0" t="n">
        <v>1387</v>
      </c>
      <c r="E139" s="0" t="s">
        <v>164</v>
      </c>
      <c r="F139" s="25" t="b">
        <f aca="false">TRUE()</f>
        <v>1</v>
      </c>
      <c r="G139" s="25" t="b">
        <f aca="false">FALSE()</f>
        <v>0</v>
      </c>
      <c r="H139" s="0" t="s">
        <v>280</v>
      </c>
    </row>
    <row r="140" customFormat="false" ht="15" hidden="false" customHeight="false" outlineLevel="0" collapsed="false">
      <c r="A140" s="0" t="s">
        <v>61</v>
      </c>
      <c r="B140" s="0" t="s">
        <v>60</v>
      </c>
      <c r="C140" s="0" t="n">
        <v>2018</v>
      </c>
      <c r="D140" s="0" t="n">
        <v>1701</v>
      </c>
      <c r="E140" s="0" t="s">
        <v>164</v>
      </c>
      <c r="F140" s="25" t="b">
        <f aca="false">TRUE()</f>
        <v>1</v>
      </c>
      <c r="G140" s="25" t="b">
        <f aca="false">FALSE()</f>
        <v>0</v>
      </c>
      <c r="H140" s="0" t="s">
        <v>281</v>
      </c>
    </row>
    <row r="141" customFormat="false" ht="15" hidden="false" customHeight="false" outlineLevel="0" collapsed="false">
      <c r="A141" s="0" t="s">
        <v>61</v>
      </c>
      <c r="B141" s="0" t="s">
        <v>60</v>
      </c>
      <c r="C141" s="0" t="n">
        <v>2019</v>
      </c>
      <c r="D141" s="0" t="n">
        <v>1864</v>
      </c>
      <c r="E141" s="0" t="s">
        <v>164</v>
      </c>
      <c r="F141" s="25" t="b">
        <f aca="false">TRUE()</f>
        <v>1</v>
      </c>
      <c r="G141" s="25" t="b">
        <f aca="false">FALSE()</f>
        <v>0</v>
      </c>
      <c r="H141" s="0" t="s">
        <v>282</v>
      </c>
    </row>
    <row r="142" customFormat="false" ht="15" hidden="false" customHeight="false" outlineLevel="0" collapsed="false">
      <c r="A142" s="0" t="s">
        <v>61</v>
      </c>
      <c r="B142" s="0" t="s">
        <v>60</v>
      </c>
      <c r="C142" s="0" t="n">
        <v>2020</v>
      </c>
      <c r="D142" s="0" t="n">
        <v>423</v>
      </c>
      <c r="E142" s="0" t="s">
        <v>164</v>
      </c>
      <c r="F142" s="25" t="b">
        <f aca="false">TRUE()</f>
        <v>1</v>
      </c>
      <c r="G142" s="25" t="b">
        <f aca="false">FALSE()</f>
        <v>0</v>
      </c>
      <c r="H142" s="0" t="s">
        <v>283</v>
      </c>
    </row>
    <row r="143" customFormat="false" ht="15" hidden="false" customHeight="false" outlineLevel="0" collapsed="false">
      <c r="A143" s="0" t="s">
        <v>61</v>
      </c>
      <c r="B143" s="0" t="s">
        <v>60</v>
      </c>
      <c r="C143" s="0" t="n">
        <v>2021</v>
      </c>
      <c r="D143" s="0" t="n">
        <v>1223</v>
      </c>
      <c r="E143" s="0" t="s">
        <v>164</v>
      </c>
      <c r="F143" s="25" t="b">
        <f aca="false">TRUE()</f>
        <v>1</v>
      </c>
      <c r="G143" s="25" t="b">
        <f aca="false">FALSE()</f>
        <v>0</v>
      </c>
      <c r="H143" s="0" t="s">
        <v>284</v>
      </c>
    </row>
    <row r="144" customFormat="false" ht="15" hidden="false" customHeight="false" outlineLevel="0" collapsed="false">
      <c r="A144" s="0" t="s">
        <v>61</v>
      </c>
      <c r="B144" s="0" t="s">
        <v>60</v>
      </c>
      <c r="C144" s="0" t="n">
        <v>2022</v>
      </c>
      <c r="D144" s="0" t="n">
        <v>58</v>
      </c>
      <c r="E144" s="0" t="s">
        <v>164</v>
      </c>
      <c r="F144" s="25" t="b">
        <f aca="false">TRUE()</f>
        <v>1</v>
      </c>
      <c r="G144" s="25" t="b">
        <f aca="false">FALSE()</f>
        <v>0</v>
      </c>
      <c r="H144" s="0" t="s">
        <v>285</v>
      </c>
    </row>
    <row r="145" customFormat="false" ht="15" hidden="false" customHeight="false" outlineLevel="0" collapsed="false">
      <c r="A145" s="0" t="s">
        <v>61</v>
      </c>
      <c r="B145" s="0" t="s">
        <v>60</v>
      </c>
      <c r="C145" s="0" t="n">
        <v>2023</v>
      </c>
      <c r="D145" s="0" t="n">
        <v>-26</v>
      </c>
      <c r="E145" s="0" t="s">
        <v>164</v>
      </c>
      <c r="F145" s="25" t="b">
        <f aca="false">TRUE()</f>
        <v>1</v>
      </c>
      <c r="G145" s="25" t="b">
        <f aca="false">FALSE()</f>
        <v>0</v>
      </c>
      <c r="H145" s="0" t="s">
        <v>286</v>
      </c>
    </row>
    <row r="146" customFormat="false" ht="15" hidden="false" customHeight="false" outlineLevel="0" collapsed="false">
      <c r="A146" s="0" t="s">
        <v>63</v>
      </c>
      <c r="B146" s="0" t="s">
        <v>62</v>
      </c>
      <c r="C146" s="0" t="n">
        <v>2016</v>
      </c>
      <c r="E146" s="0" t="s">
        <v>164</v>
      </c>
      <c r="F146" s="25" t="b">
        <f aca="false">FALSE()</f>
        <v>0</v>
      </c>
      <c r="G146" s="25" t="b">
        <f aca="false">FALSE()</f>
        <v>0</v>
      </c>
      <c r="H146" s="0" t="s">
        <v>287</v>
      </c>
    </row>
    <row r="147" customFormat="false" ht="15" hidden="false" customHeight="false" outlineLevel="0" collapsed="false">
      <c r="A147" s="0" t="s">
        <v>63</v>
      </c>
      <c r="B147" s="0" t="s">
        <v>62</v>
      </c>
      <c r="C147" s="0" t="n">
        <v>2017</v>
      </c>
      <c r="E147" s="0" t="s">
        <v>164</v>
      </c>
      <c r="F147" s="25" t="b">
        <f aca="false">FALSE()</f>
        <v>0</v>
      </c>
      <c r="G147" s="25" t="b">
        <f aca="false">FALSE()</f>
        <v>0</v>
      </c>
      <c r="H147" s="0" t="s">
        <v>288</v>
      </c>
    </row>
    <row r="148" customFormat="false" ht="15" hidden="false" customHeight="false" outlineLevel="0" collapsed="false">
      <c r="A148" s="0" t="s">
        <v>63</v>
      </c>
      <c r="B148" s="0" t="s">
        <v>62</v>
      </c>
      <c r="C148" s="0" t="n">
        <v>2018</v>
      </c>
      <c r="E148" s="0" t="s">
        <v>164</v>
      </c>
      <c r="F148" s="25" t="b">
        <f aca="false">FALSE()</f>
        <v>0</v>
      </c>
      <c r="G148" s="25" t="b">
        <f aca="false">FALSE()</f>
        <v>0</v>
      </c>
      <c r="H148" s="0" t="s">
        <v>289</v>
      </c>
    </row>
    <row r="149" customFormat="false" ht="15" hidden="false" customHeight="false" outlineLevel="0" collapsed="false">
      <c r="A149" s="0" t="s">
        <v>63</v>
      </c>
      <c r="B149" s="0" t="s">
        <v>62</v>
      </c>
      <c r="C149" s="0" t="n">
        <v>2019</v>
      </c>
      <c r="E149" s="0" t="s">
        <v>164</v>
      </c>
      <c r="F149" s="25" t="b">
        <f aca="false">FALSE()</f>
        <v>0</v>
      </c>
      <c r="G149" s="25" t="b">
        <f aca="false">FALSE()</f>
        <v>0</v>
      </c>
      <c r="H149" s="0" t="s">
        <v>290</v>
      </c>
    </row>
    <row r="150" customFormat="false" ht="15" hidden="false" customHeight="false" outlineLevel="0" collapsed="false">
      <c r="A150" s="0" t="s">
        <v>63</v>
      </c>
      <c r="B150" s="0" t="s">
        <v>62</v>
      </c>
      <c r="C150" s="0" t="n">
        <v>2020</v>
      </c>
      <c r="D150" s="0" t="n">
        <v>-70</v>
      </c>
      <c r="E150" s="0" t="s">
        <v>164</v>
      </c>
      <c r="F150" s="25" t="b">
        <f aca="false">FALSE()</f>
        <v>0</v>
      </c>
      <c r="G150" s="25" t="b">
        <f aca="false">FALSE()</f>
        <v>0</v>
      </c>
      <c r="H150" s="0" t="s">
        <v>291</v>
      </c>
    </row>
    <row r="151" customFormat="false" ht="15" hidden="false" customHeight="false" outlineLevel="0" collapsed="false">
      <c r="A151" s="0" t="s">
        <v>63</v>
      </c>
      <c r="B151" s="0" t="s">
        <v>62</v>
      </c>
      <c r="C151" s="0" t="n">
        <v>2021</v>
      </c>
      <c r="D151" s="0" t="n">
        <v>232</v>
      </c>
      <c r="E151" s="0" t="s">
        <v>164</v>
      </c>
      <c r="F151" s="25" t="b">
        <f aca="false">FALSE()</f>
        <v>0</v>
      </c>
      <c r="G151" s="25" t="b">
        <f aca="false">FALSE()</f>
        <v>0</v>
      </c>
      <c r="H151" s="0" t="s">
        <v>292</v>
      </c>
    </row>
    <row r="152" customFormat="false" ht="15" hidden="false" customHeight="false" outlineLevel="0" collapsed="false">
      <c r="A152" s="0" t="s">
        <v>63</v>
      </c>
      <c r="B152" s="0" t="s">
        <v>62</v>
      </c>
      <c r="C152" s="0" t="n">
        <v>2022</v>
      </c>
      <c r="E152" s="0" t="s">
        <v>164</v>
      </c>
      <c r="F152" s="25" t="b">
        <f aca="false">FALSE()</f>
        <v>0</v>
      </c>
      <c r="G152" s="25" t="b">
        <f aca="false">FALSE()</f>
        <v>0</v>
      </c>
      <c r="H152" s="0" t="s">
        <v>293</v>
      </c>
    </row>
    <row r="153" customFormat="false" ht="15" hidden="false" customHeight="false" outlineLevel="0" collapsed="false">
      <c r="A153" s="0" t="s">
        <v>63</v>
      </c>
      <c r="B153" s="0" t="s">
        <v>62</v>
      </c>
      <c r="C153" s="0" t="n">
        <v>2023</v>
      </c>
      <c r="E153" s="0" t="s">
        <v>164</v>
      </c>
      <c r="F153" s="25" t="b">
        <f aca="false">FALSE()</f>
        <v>0</v>
      </c>
      <c r="G153" s="25" t="b">
        <f aca="false">FALSE()</f>
        <v>0</v>
      </c>
      <c r="H153" s="0" t="s">
        <v>294</v>
      </c>
    </row>
    <row r="154" customFormat="false" ht="15" hidden="false" customHeight="false" outlineLevel="0" collapsed="false">
      <c r="A154" s="0" t="s">
        <v>69</v>
      </c>
      <c r="B154" s="0" t="s">
        <v>68</v>
      </c>
      <c r="C154" s="0" t="n">
        <v>2016</v>
      </c>
      <c r="D154" s="0" t="n">
        <v>949</v>
      </c>
      <c r="E154" s="0" t="s">
        <v>164</v>
      </c>
      <c r="F154" s="25" t="b">
        <f aca="false">TRUE()</f>
        <v>1</v>
      </c>
      <c r="G154" s="25" t="b">
        <f aca="false">FALSE()</f>
        <v>0</v>
      </c>
      <c r="H154" s="0" t="s">
        <v>295</v>
      </c>
    </row>
    <row r="155" customFormat="false" ht="15" hidden="false" customHeight="false" outlineLevel="0" collapsed="false">
      <c r="A155" s="0" t="s">
        <v>69</v>
      </c>
      <c r="B155" s="0" t="s">
        <v>68</v>
      </c>
      <c r="C155" s="0" t="n">
        <v>2017</v>
      </c>
      <c r="D155" s="0" t="n">
        <v>1373</v>
      </c>
      <c r="E155" s="0" t="s">
        <v>164</v>
      </c>
      <c r="F155" s="25" t="b">
        <f aca="false">TRUE()</f>
        <v>1</v>
      </c>
      <c r="G155" s="25" t="b">
        <f aca="false">FALSE()</f>
        <v>0</v>
      </c>
      <c r="H155" s="0" t="s">
        <v>296</v>
      </c>
    </row>
    <row r="156" customFormat="false" ht="15" hidden="false" customHeight="false" outlineLevel="0" collapsed="false">
      <c r="A156" s="0" t="s">
        <v>69</v>
      </c>
      <c r="B156" s="0" t="s">
        <v>68</v>
      </c>
      <c r="C156" s="0" t="n">
        <v>2018</v>
      </c>
      <c r="D156" s="0" t="n">
        <v>1690</v>
      </c>
      <c r="E156" s="0" t="s">
        <v>164</v>
      </c>
      <c r="F156" s="25" t="b">
        <f aca="false">TRUE()</f>
        <v>1</v>
      </c>
      <c r="G156" s="25" t="b">
        <f aca="false">FALSE()</f>
        <v>0</v>
      </c>
      <c r="H156" s="0" t="s">
        <v>297</v>
      </c>
    </row>
    <row r="157" customFormat="false" ht="15" hidden="false" customHeight="false" outlineLevel="0" collapsed="false">
      <c r="A157" s="0" t="s">
        <v>69</v>
      </c>
      <c r="B157" s="0" t="s">
        <v>68</v>
      </c>
      <c r="C157" s="0" t="n">
        <v>2019</v>
      </c>
      <c r="D157" s="0" t="n">
        <v>1855</v>
      </c>
      <c r="E157" s="0" t="s">
        <v>164</v>
      </c>
      <c r="F157" s="25" t="b">
        <f aca="false">TRUE()</f>
        <v>1</v>
      </c>
      <c r="G157" s="25" t="b">
        <f aca="false">FALSE()</f>
        <v>0</v>
      </c>
      <c r="H157" s="0" t="s">
        <v>298</v>
      </c>
    </row>
    <row r="158" customFormat="false" ht="15" hidden="false" customHeight="false" outlineLevel="0" collapsed="false">
      <c r="A158" s="0" t="s">
        <v>69</v>
      </c>
      <c r="B158" s="0" t="s">
        <v>68</v>
      </c>
      <c r="C158" s="0" t="n">
        <v>2020</v>
      </c>
      <c r="D158" s="0" t="n">
        <v>347</v>
      </c>
      <c r="E158" s="0" t="s">
        <v>164</v>
      </c>
      <c r="F158" s="25" t="b">
        <f aca="false">TRUE()</f>
        <v>1</v>
      </c>
      <c r="G158" s="25" t="b">
        <f aca="false">FALSE()</f>
        <v>0</v>
      </c>
      <c r="H158" s="0" t="s">
        <v>299</v>
      </c>
    </row>
    <row r="159" customFormat="false" ht="15" hidden="false" customHeight="false" outlineLevel="0" collapsed="false">
      <c r="A159" s="0" t="s">
        <v>69</v>
      </c>
      <c r="B159" s="0" t="s">
        <v>68</v>
      </c>
      <c r="C159" s="0" t="n">
        <v>2021</v>
      </c>
      <c r="D159" s="0" t="n">
        <v>1447</v>
      </c>
      <c r="E159" s="0" t="s">
        <v>164</v>
      </c>
      <c r="F159" s="25" t="b">
        <f aca="false">TRUE()</f>
        <v>1</v>
      </c>
      <c r="G159" s="25" t="b">
        <f aca="false">FALSE()</f>
        <v>0</v>
      </c>
      <c r="H159" s="0" t="s">
        <v>300</v>
      </c>
    </row>
    <row r="160" customFormat="false" ht="15" hidden="false" customHeight="false" outlineLevel="0" collapsed="false">
      <c r="A160" s="0" t="s">
        <v>69</v>
      </c>
      <c r="B160" s="0" t="s">
        <v>68</v>
      </c>
      <c r="C160" s="0" t="n">
        <v>2022</v>
      </c>
      <c r="D160" s="0" t="n">
        <v>50</v>
      </c>
      <c r="E160" s="0" t="s">
        <v>164</v>
      </c>
      <c r="F160" s="25" t="b">
        <f aca="false">TRUE()</f>
        <v>1</v>
      </c>
      <c r="G160" s="25" t="b">
        <f aca="false">FALSE()</f>
        <v>0</v>
      </c>
      <c r="H160" s="0" t="s">
        <v>301</v>
      </c>
    </row>
    <row r="161" customFormat="false" ht="15" hidden="false" customHeight="false" outlineLevel="0" collapsed="false">
      <c r="A161" s="0" t="s">
        <v>69</v>
      </c>
      <c r="B161" s="0" t="s">
        <v>68</v>
      </c>
      <c r="C161" s="0" t="n">
        <v>2023</v>
      </c>
      <c r="D161" s="0" t="n">
        <v>-33</v>
      </c>
      <c r="E161" s="0" t="s">
        <v>164</v>
      </c>
      <c r="F161" s="25" t="b">
        <f aca="false">TRUE()</f>
        <v>1</v>
      </c>
      <c r="G161" s="25" t="b">
        <f aca="false">FALSE()</f>
        <v>0</v>
      </c>
      <c r="H161" s="0" t="s">
        <v>302</v>
      </c>
    </row>
    <row r="162" customFormat="false" ht="15" hidden="false" customHeight="false" outlineLevel="0" collapsed="false">
      <c r="A162" s="0" t="s">
        <v>43</v>
      </c>
      <c r="B162" s="0" t="s">
        <v>42</v>
      </c>
      <c r="C162" s="0" t="n">
        <v>2016</v>
      </c>
      <c r="D162" s="0" t="n">
        <v>-7744</v>
      </c>
      <c r="E162" s="0" t="s">
        <v>164</v>
      </c>
      <c r="F162" s="25" t="b">
        <f aca="false">TRUE()</f>
        <v>1</v>
      </c>
      <c r="G162" s="25" t="b">
        <f aca="false">FALSE()</f>
        <v>0</v>
      </c>
      <c r="H162" s="0" t="s">
        <v>303</v>
      </c>
    </row>
    <row r="163" customFormat="false" ht="15" hidden="false" customHeight="false" outlineLevel="0" collapsed="false">
      <c r="A163" s="0" t="s">
        <v>43</v>
      </c>
      <c r="B163" s="0" t="s">
        <v>42</v>
      </c>
      <c r="C163" s="0" t="n">
        <v>2017</v>
      </c>
      <c r="D163" s="0" t="n">
        <v>-8890</v>
      </c>
      <c r="E163" s="0" t="s">
        <v>164</v>
      </c>
      <c r="F163" s="25" t="b">
        <f aca="false">TRUE()</f>
        <v>1</v>
      </c>
      <c r="G163" s="25" t="b">
        <f aca="false">FALSE()</f>
        <v>0</v>
      </c>
      <c r="H163" s="0" t="s">
        <v>304</v>
      </c>
    </row>
    <row r="164" customFormat="false" ht="15" hidden="false" customHeight="false" outlineLevel="0" collapsed="false">
      <c r="A164" s="0" t="s">
        <v>43</v>
      </c>
      <c r="B164" s="0" t="s">
        <v>42</v>
      </c>
      <c r="C164" s="0" t="n">
        <v>2018</v>
      </c>
      <c r="D164" s="0" t="n">
        <v>-9139</v>
      </c>
      <c r="E164" s="0" t="s">
        <v>164</v>
      </c>
      <c r="F164" s="25" t="b">
        <f aca="false">TRUE()</f>
        <v>1</v>
      </c>
      <c r="G164" s="25" t="b">
        <f aca="false">FALSE()</f>
        <v>0</v>
      </c>
      <c r="H164" s="0" t="s">
        <v>305</v>
      </c>
    </row>
    <row r="165" customFormat="false" ht="15" hidden="false" customHeight="false" outlineLevel="0" collapsed="false">
      <c r="A165" s="0" t="s">
        <v>43</v>
      </c>
      <c r="B165" s="0" t="s">
        <v>42</v>
      </c>
      <c r="C165" s="0" t="n">
        <v>2019</v>
      </c>
      <c r="D165" s="0" t="n">
        <v>-9881</v>
      </c>
      <c r="E165" s="0" t="s">
        <v>164</v>
      </c>
      <c r="F165" s="25" t="b">
        <f aca="false">TRUE()</f>
        <v>1</v>
      </c>
      <c r="G165" s="25" t="b">
        <f aca="false">FALSE()</f>
        <v>0</v>
      </c>
      <c r="H165" s="0" t="s">
        <v>306</v>
      </c>
    </row>
    <row r="166" customFormat="false" ht="15" hidden="false" customHeight="false" outlineLevel="0" collapsed="false">
      <c r="A166" s="0" t="s">
        <v>43</v>
      </c>
      <c r="B166" s="0" t="s">
        <v>42</v>
      </c>
      <c r="C166" s="0" t="n">
        <v>2020</v>
      </c>
      <c r="D166" s="0" t="n">
        <v>-9207</v>
      </c>
      <c r="E166" s="0" t="s">
        <v>164</v>
      </c>
      <c r="F166" s="25" t="b">
        <f aca="false">TRUE()</f>
        <v>1</v>
      </c>
      <c r="G166" s="25" t="b">
        <f aca="false">FALSE()</f>
        <v>0</v>
      </c>
      <c r="H166" s="0" t="s">
        <v>307</v>
      </c>
    </row>
    <row r="167" customFormat="false" ht="15" hidden="false" customHeight="false" outlineLevel="0" collapsed="false">
      <c r="A167" s="0" t="s">
        <v>43</v>
      </c>
      <c r="B167" s="0" t="s">
        <v>42</v>
      </c>
      <c r="C167" s="0" t="n">
        <v>2021</v>
      </c>
      <c r="D167" s="0" t="n">
        <v>-9045</v>
      </c>
      <c r="E167" s="0" t="s">
        <v>164</v>
      </c>
      <c r="F167" s="25" t="b">
        <f aca="false">TRUE()</f>
        <v>1</v>
      </c>
      <c r="G167" s="25" t="b">
        <f aca="false">FALSE()</f>
        <v>0</v>
      </c>
      <c r="H167" s="0" t="s">
        <v>308</v>
      </c>
    </row>
    <row r="168" customFormat="false" ht="15" hidden="false" customHeight="false" outlineLevel="0" collapsed="false">
      <c r="A168" s="0" t="s">
        <v>43</v>
      </c>
      <c r="B168" s="0" t="s">
        <v>42</v>
      </c>
      <c r="C168" s="0" t="n">
        <v>2022</v>
      </c>
      <c r="D168" s="0" t="n">
        <v>-10242</v>
      </c>
      <c r="E168" s="0" t="s">
        <v>164</v>
      </c>
      <c r="F168" s="25" t="b">
        <f aca="false">TRUE()</f>
        <v>1</v>
      </c>
      <c r="G168" s="25" t="b">
        <f aca="false">FALSE()</f>
        <v>0</v>
      </c>
      <c r="H168" s="0" t="s">
        <v>309</v>
      </c>
    </row>
    <row r="169" customFormat="false" ht="15" hidden="false" customHeight="false" outlineLevel="0" collapsed="false">
      <c r="A169" s="0" t="s">
        <v>43</v>
      </c>
      <c r="B169" s="0" t="s">
        <v>42</v>
      </c>
      <c r="C169" s="0" t="n">
        <v>2023</v>
      </c>
      <c r="D169" s="0" t="n">
        <v>-9985</v>
      </c>
      <c r="E169" s="0" t="s">
        <v>164</v>
      </c>
      <c r="F169" s="25" t="b">
        <f aca="false">TRUE()</f>
        <v>1</v>
      </c>
      <c r="G169" s="25" t="b">
        <f aca="false">FALSE()</f>
        <v>0</v>
      </c>
      <c r="H169" s="0" t="s">
        <v>310</v>
      </c>
    </row>
    <row r="170" customFormat="false" ht="15" hidden="false" customHeight="false" outlineLevel="0" collapsed="false">
      <c r="A170" s="0" t="s">
        <v>33</v>
      </c>
      <c r="B170" s="0" t="s">
        <v>32</v>
      </c>
      <c r="C170" s="0" t="n">
        <v>2016</v>
      </c>
      <c r="D170" s="0" t="n">
        <v>60</v>
      </c>
      <c r="E170" s="0" t="s">
        <v>311</v>
      </c>
      <c r="F170" s="25" t="b">
        <f aca="false">FALSE()</f>
        <v>0</v>
      </c>
      <c r="G170" s="25" t="b">
        <f aca="false">FALSE()</f>
        <v>0</v>
      </c>
      <c r="H170" s="0" t="s">
        <v>312</v>
      </c>
    </row>
    <row r="171" customFormat="false" ht="15" hidden="false" customHeight="false" outlineLevel="0" collapsed="false">
      <c r="A171" s="0" t="s">
        <v>33</v>
      </c>
      <c r="B171" s="0" t="s">
        <v>32</v>
      </c>
      <c r="C171" s="0" t="n">
        <v>2017</v>
      </c>
      <c r="D171" s="0" t="n">
        <v>66</v>
      </c>
      <c r="E171" s="0" t="s">
        <v>311</v>
      </c>
      <c r="F171" s="25" t="b">
        <f aca="false">FALSE()</f>
        <v>0</v>
      </c>
      <c r="G171" s="25" t="b">
        <f aca="false">FALSE()</f>
        <v>0</v>
      </c>
      <c r="H171" s="0" t="s">
        <v>313</v>
      </c>
    </row>
    <row r="172" customFormat="false" ht="15" hidden="false" customHeight="false" outlineLevel="0" collapsed="false">
      <c r="A172" s="0" t="s">
        <v>33</v>
      </c>
      <c r="B172" s="0" t="s">
        <v>32</v>
      </c>
      <c r="C172" s="0" t="n">
        <v>2018</v>
      </c>
      <c r="D172" s="0" t="n">
        <v>71</v>
      </c>
      <c r="E172" s="0" t="s">
        <v>311</v>
      </c>
      <c r="F172" s="25" t="b">
        <f aca="false">FALSE()</f>
        <v>0</v>
      </c>
      <c r="G172" s="25" t="b">
        <f aca="false">FALSE()</f>
        <v>0</v>
      </c>
      <c r="H172" s="0" t="s">
        <v>314</v>
      </c>
    </row>
    <row r="173" customFormat="false" ht="15" hidden="false" customHeight="false" outlineLevel="0" collapsed="false">
      <c r="A173" s="0" t="s">
        <v>33</v>
      </c>
      <c r="B173" s="0" t="s">
        <v>32</v>
      </c>
      <c r="C173" s="0" t="n">
        <v>2019</v>
      </c>
      <c r="D173" s="0" t="n">
        <v>78</v>
      </c>
      <c r="E173" s="0" t="s">
        <v>311</v>
      </c>
      <c r="F173" s="25" t="b">
        <f aca="false">FALSE()</f>
        <v>0</v>
      </c>
      <c r="G173" s="25" t="b">
        <f aca="false">FALSE()</f>
        <v>0</v>
      </c>
      <c r="H173" s="0" t="s">
        <v>315</v>
      </c>
    </row>
    <row r="174" customFormat="false" ht="15" hidden="false" customHeight="false" outlineLevel="0" collapsed="false">
      <c r="A174" s="0" t="s">
        <v>33</v>
      </c>
      <c r="B174" s="0" t="s">
        <v>32</v>
      </c>
      <c r="C174" s="0" t="n">
        <v>2020</v>
      </c>
      <c r="D174" s="0" t="n">
        <v>52</v>
      </c>
      <c r="E174" s="0" t="s">
        <v>311</v>
      </c>
      <c r="F174" s="25" t="b">
        <f aca="false">FALSE()</f>
        <v>0</v>
      </c>
      <c r="G174" s="25" t="b">
        <f aca="false">FALSE()</f>
        <v>0</v>
      </c>
      <c r="H174" s="0" t="s">
        <v>316</v>
      </c>
    </row>
    <row r="175" customFormat="false" ht="15" hidden="false" customHeight="false" outlineLevel="0" collapsed="false">
      <c r="A175" s="0" t="s">
        <v>33</v>
      </c>
      <c r="B175" s="0" t="s">
        <v>32</v>
      </c>
      <c r="C175" s="0" t="n">
        <v>2021</v>
      </c>
      <c r="D175" s="0" t="n">
        <v>58</v>
      </c>
      <c r="E175" s="0" t="s">
        <v>311</v>
      </c>
      <c r="F175" s="25" t="b">
        <f aca="false">FALSE()</f>
        <v>0</v>
      </c>
      <c r="G175" s="25" t="b">
        <f aca="false">FALSE()</f>
        <v>0</v>
      </c>
      <c r="H175" s="0" t="s">
        <v>317</v>
      </c>
    </row>
    <row r="176" customFormat="false" ht="15" hidden="false" customHeight="false" outlineLevel="0" collapsed="false">
      <c r="A176" s="0" t="s">
        <v>33</v>
      </c>
      <c r="B176" s="0" t="s">
        <v>32</v>
      </c>
      <c r="C176" s="0" t="n">
        <v>2022</v>
      </c>
      <c r="D176" s="0" t="n">
        <v>63</v>
      </c>
      <c r="E176" s="0" t="s">
        <v>311</v>
      </c>
      <c r="F176" s="25" t="b">
        <f aca="false">FALSE()</f>
        <v>0</v>
      </c>
      <c r="G176" s="25" t="b">
        <f aca="false">FALSE()</f>
        <v>0</v>
      </c>
      <c r="H176" s="0" t="s">
        <v>318</v>
      </c>
    </row>
    <row r="177" customFormat="false" ht="15" hidden="false" customHeight="false" outlineLevel="0" collapsed="false">
      <c r="A177" s="0" t="s">
        <v>33</v>
      </c>
      <c r="B177" s="0" t="s">
        <v>32</v>
      </c>
      <c r="C177" s="0" t="n">
        <v>2023</v>
      </c>
      <c r="D177" s="0" t="n">
        <v>55</v>
      </c>
      <c r="E177" s="0" t="s">
        <v>311</v>
      </c>
      <c r="F177" s="25" t="b">
        <f aca="false">FALSE()</f>
        <v>0</v>
      </c>
      <c r="G177" s="25" t="b">
        <f aca="false">FALSE()</f>
        <v>0</v>
      </c>
      <c r="H177" s="0" t="s">
        <v>319</v>
      </c>
    </row>
    <row r="178" customFormat="false" ht="15" hidden="false" customHeight="false" outlineLevel="0" collapsed="false">
      <c r="A178" s="0" t="s">
        <v>49</v>
      </c>
      <c r="B178" s="0" t="s">
        <v>48</v>
      </c>
      <c r="C178" s="0" t="n">
        <v>2016</v>
      </c>
      <c r="D178" s="0" t="n">
        <v>0.076</v>
      </c>
      <c r="E178" s="0" t="s">
        <v>197</v>
      </c>
      <c r="F178" s="25" t="b">
        <f aca="false">FALSE()</f>
        <v>0</v>
      </c>
      <c r="G178" s="25" t="b">
        <f aca="false">TRUE()</f>
        <v>1</v>
      </c>
      <c r="H178" s="0" t="s">
        <v>320</v>
      </c>
    </row>
    <row r="179" customFormat="false" ht="15" hidden="false" customHeight="false" outlineLevel="0" collapsed="false">
      <c r="A179" s="0" t="s">
        <v>49</v>
      </c>
      <c r="B179" s="0" t="s">
        <v>48</v>
      </c>
      <c r="C179" s="0" t="n">
        <v>2017</v>
      </c>
      <c r="D179" s="0" t="n">
        <v>0.094</v>
      </c>
      <c r="E179" s="0" t="s">
        <v>197</v>
      </c>
      <c r="F179" s="25" t="b">
        <f aca="false">FALSE()</f>
        <v>0</v>
      </c>
      <c r="G179" s="25" t="b">
        <f aca="false">TRUE()</f>
        <v>1</v>
      </c>
      <c r="H179" s="0" t="s">
        <v>321</v>
      </c>
    </row>
    <row r="180" customFormat="false" ht="15" hidden="false" customHeight="false" outlineLevel="0" collapsed="false">
      <c r="A180" s="0" t="s">
        <v>49</v>
      </c>
      <c r="B180" s="0" t="s">
        <v>48</v>
      </c>
      <c r="C180" s="0" t="n">
        <v>2018</v>
      </c>
      <c r="D180" s="0" t="n">
        <v>0.108</v>
      </c>
      <c r="E180" s="0" t="s">
        <v>197</v>
      </c>
      <c r="F180" s="25" t="b">
        <f aca="false">FALSE()</f>
        <v>0</v>
      </c>
      <c r="G180" s="25" t="b">
        <f aca="false">TRUE()</f>
        <v>1</v>
      </c>
      <c r="H180" s="0" t="s">
        <v>322</v>
      </c>
    </row>
    <row r="181" customFormat="false" ht="15" hidden="false" customHeight="false" outlineLevel="0" collapsed="false">
      <c r="A181" s="0" t="s">
        <v>49</v>
      </c>
      <c r="B181" s="0" t="s">
        <v>48</v>
      </c>
      <c r="C181" s="0" t="n">
        <v>2019</v>
      </c>
      <c r="D181" s="0" t="n">
        <v>0.111</v>
      </c>
      <c r="E181" s="0" t="s">
        <v>197</v>
      </c>
      <c r="F181" s="25" t="b">
        <f aca="false">FALSE()</f>
        <v>0</v>
      </c>
      <c r="G181" s="25" t="b">
        <f aca="false">TRUE()</f>
        <v>1</v>
      </c>
      <c r="H181" s="0" t="s">
        <v>323</v>
      </c>
    </row>
    <row r="182" customFormat="false" ht="15" hidden="false" customHeight="false" outlineLevel="0" collapsed="false">
      <c r="A182" s="0" t="s">
        <v>49</v>
      </c>
      <c r="B182" s="0" t="s">
        <v>48</v>
      </c>
      <c r="C182" s="0" t="n">
        <v>2020</v>
      </c>
      <c r="D182" s="0" t="n">
        <v>0.04</v>
      </c>
      <c r="E182" s="0" t="s">
        <v>197</v>
      </c>
      <c r="F182" s="25" t="b">
        <f aca="false">FALSE()</f>
        <v>0</v>
      </c>
      <c r="G182" s="25" t="b">
        <f aca="false">TRUE()</f>
        <v>1</v>
      </c>
      <c r="H182" s="0" t="s">
        <v>324</v>
      </c>
    </row>
    <row r="183" customFormat="false" ht="15" hidden="false" customHeight="false" outlineLevel="0" collapsed="false">
      <c r="A183" s="0" t="s">
        <v>49</v>
      </c>
      <c r="B183" s="0" t="s">
        <v>48</v>
      </c>
      <c r="C183" s="0" t="n">
        <v>2021</v>
      </c>
      <c r="D183" s="0" t="n">
        <v>0.087</v>
      </c>
      <c r="E183" s="0" t="s">
        <v>197</v>
      </c>
      <c r="F183" s="25" t="b">
        <f aca="false">FALSE()</f>
        <v>0</v>
      </c>
      <c r="G183" s="25" t="b">
        <f aca="false">TRUE()</f>
        <v>1</v>
      </c>
      <c r="H183" s="0" t="s">
        <v>325</v>
      </c>
    </row>
    <row r="184" customFormat="false" ht="15" hidden="false" customHeight="false" outlineLevel="0" collapsed="false">
      <c r="A184" s="0" t="s">
        <v>49</v>
      </c>
      <c r="B184" s="0" t="s">
        <v>48</v>
      </c>
      <c r="C184" s="0" t="n">
        <v>2022</v>
      </c>
      <c r="D184" s="0" t="n">
        <v>0.017</v>
      </c>
      <c r="E184" s="0" t="s">
        <v>197</v>
      </c>
      <c r="F184" s="25" t="b">
        <f aca="false">FALSE()</f>
        <v>0</v>
      </c>
      <c r="G184" s="25" t="b">
        <f aca="false">TRUE()</f>
        <v>1</v>
      </c>
      <c r="H184" s="0" t="s">
        <v>326</v>
      </c>
    </row>
    <row r="185" customFormat="false" ht="15" hidden="false" customHeight="false" outlineLevel="0" collapsed="false">
      <c r="A185" s="0" t="s">
        <v>49</v>
      </c>
      <c r="B185" s="0" t="s">
        <v>48</v>
      </c>
      <c r="C185" s="0" t="n">
        <v>2023</v>
      </c>
      <c r="D185" s="0" t="n">
        <v>0.017</v>
      </c>
      <c r="E185" s="0" t="s">
        <v>197</v>
      </c>
      <c r="F185" s="25" t="b">
        <f aca="false">FALSE()</f>
        <v>0</v>
      </c>
      <c r="G185" s="25" t="b">
        <f aca="false">TRUE()</f>
        <v>1</v>
      </c>
      <c r="H185" s="0" t="s">
        <v>327</v>
      </c>
    </row>
    <row r="186" customFormat="false" ht="15" hidden="false" customHeight="false" outlineLevel="0" collapsed="false">
      <c r="A186" s="0" t="s">
        <v>23</v>
      </c>
      <c r="B186" s="0" t="s">
        <v>22</v>
      </c>
      <c r="C186" s="0" t="n">
        <v>2016</v>
      </c>
      <c r="E186" s="0" t="s">
        <v>328</v>
      </c>
      <c r="F186" s="25" t="b">
        <f aca="false">FALSE()</f>
        <v>0</v>
      </c>
      <c r="G186" s="25" t="b">
        <f aca="false">TRUE()</f>
        <v>1</v>
      </c>
      <c r="H186" s="0" t="s">
        <v>329</v>
      </c>
    </row>
    <row r="187" customFormat="false" ht="15" hidden="false" customHeight="false" outlineLevel="0" collapsed="false">
      <c r="A187" s="0" t="s">
        <v>23</v>
      </c>
      <c r="B187" s="0" t="s">
        <v>22</v>
      </c>
      <c r="C187" s="0" t="n">
        <v>2017</v>
      </c>
      <c r="D187" s="0" t="n">
        <v>0.148</v>
      </c>
      <c r="E187" s="0" t="s">
        <v>328</v>
      </c>
      <c r="F187" s="25" t="b">
        <f aca="false">FALSE()</f>
        <v>0</v>
      </c>
      <c r="G187" s="25" t="b">
        <f aca="false">TRUE()</f>
        <v>1</v>
      </c>
      <c r="H187" s="0" t="s">
        <v>330</v>
      </c>
    </row>
    <row r="188" customFormat="false" ht="15" hidden="false" customHeight="false" outlineLevel="0" collapsed="false">
      <c r="A188" s="0" t="s">
        <v>23</v>
      </c>
      <c r="B188" s="0" t="s">
        <v>22</v>
      </c>
      <c r="C188" s="0" t="n">
        <v>2018</v>
      </c>
      <c r="D188" s="0" t="n">
        <v>0.033</v>
      </c>
      <c r="E188" s="0" t="s">
        <v>328</v>
      </c>
      <c r="F188" s="25" t="b">
        <f aca="false">FALSE()</f>
        <v>0</v>
      </c>
      <c r="G188" s="25" t="b">
        <f aca="false">TRUE()</f>
        <v>1</v>
      </c>
      <c r="H188" s="0" t="s">
        <v>331</v>
      </c>
    </row>
    <row r="189" customFormat="false" ht="15" hidden="false" customHeight="false" outlineLevel="0" collapsed="false">
      <c r="A189" s="0" t="s">
        <v>23</v>
      </c>
      <c r="B189" s="0" t="s">
        <v>22</v>
      </c>
      <c r="C189" s="0" t="n">
        <v>2019</v>
      </c>
      <c r="D189" s="0" t="n">
        <v>0.079</v>
      </c>
      <c r="E189" s="0" t="s">
        <v>328</v>
      </c>
      <c r="F189" s="25" t="b">
        <f aca="false">FALSE()</f>
        <v>0</v>
      </c>
      <c r="G189" s="25" t="b">
        <f aca="false">TRUE()</f>
        <v>1</v>
      </c>
      <c r="H189" s="0" t="s">
        <v>332</v>
      </c>
    </row>
    <row r="190" customFormat="false" ht="15" hidden="false" customHeight="false" outlineLevel="0" collapsed="false">
      <c r="A190" s="0" t="s">
        <v>23</v>
      </c>
      <c r="B190" s="0" t="s">
        <v>22</v>
      </c>
      <c r="C190" s="0" t="n">
        <v>2020</v>
      </c>
      <c r="D190" s="0" t="n">
        <v>-0.161</v>
      </c>
      <c r="E190" s="0" t="s">
        <v>328</v>
      </c>
      <c r="F190" s="25" t="b">
        <f aca="false">FALSE()</f>
        <v>0</v>
      </c>
      <c r="G190" s="25" t="b">
        <f aca="false">TRUE()</f>
        <v>1</v>
      </c>
      <c r="H190" s="0" t="s">
        <v>333</v>
      </c>
    </row>
    <row r="191" customFormat="false" ht="15" hidden="false" customHeight="false" outlineLevel="0" collapsed="false">
      <c r="A191" s="0" t="s">
        <v>23</v>
      </c>
      <c r="B191" s="0" t="s">
        <v>22</v>
      </c>
      <c r="C191" s="0" t="n">
        <v>2021</v>
      </c>
      <c r="D191" s="0" t="n">
        <v>0.07</v>
      </c>
      <c r="E191" s="0" t="s">
        <v>328</v>
      </c>
      <c r="F191" s="25" t="b">
        <f aca="false">FALSE()</f>
        <v>0</v>
      </c>
      <c r="G191" s="25" t="b">
        <f aca="false">TRUE()</f>
        <v>1</v>
      </c>
      <c r="H191" s="0" t="s">
        <v>334</v>
      </c>
    </row>
    <row r="192" customFormat="false" ht="15" hidden="false" customHeight="false" outlineLevel="0" collapsed="false">
      <c r="A192" s="0" t="s">
        <v>23</v>
      </c>
      <c r="B192" s="0" t="s">
        <v>22</v>
      </c>
      <c r="C192" s="0" t="n">
        <v>2022</v>
      </c>
      <c r="D192" s="0" t="n">
        <v>0.06</v>
      </c>
      <c r="E192" s="0" t="s">
        <v>328</v>
      </c>
      <c r="F192" s="25" t="b">
        <f aca="false">FALSE()</f>
        <v>0</v>
      </c>
      <c r="G192" s="25" t="b">
        <f aca="false">TRUE()</f>
        <v>1</v>
      </c>
      <c r="H192" s="0" t="s">
        <v>335</v>
      </c>
    </row>
    <row r="193" customFormat="false" ht="15" hidden="false" customHeight="false" outlineLevel="0" collapsed="false">
      <c r="A193" s="0" t="s">
        <v>23</v>
      </c>
      <c r="B193" s="0" t="s">
        <v>22</v>
      </c>
      <c r="C193" s="0" t="n">
        <v>2023</v>
      </c>
      <c r="D193" s="0" t="n">
        <v>-0.048</v>
      </c>
      <c r="E193" s="0" t="s">
        <v>328</v>
      </c>
      <c r="F193" s="25" t="b">
        <f aca="false">FALSE()</f>
        <v>0</v>
      </c>
      <c r="G193" s="25" t="b">
        <f aca="false">TRUE()</f>
        <v>1</v>
      </c>
      <c r="H193" s="0" t="s">
        <v>336</v>
      </c>
    </row>
    <row r="194" customFormat="false" ht="15" hidden="false" customHeight="false" outlineLevel="0" collapsed="false">
      <c r="A194" s="0" t="s">
        <v>19</v>
      </c>
      <c r="B194" s="0" t="s">
        <v>18</v>
      </c>
      <c r="C194" s="0" t="n">
        <v>2016</v>
      </c>
      <c r="D194" s="0" t="n">
        <v>979</v>
      </c>
      <c r="E194" s="0" t="s">
        <v>337</v>
      </c>
      <c r="F194" s="25" t="b">
        <f aca="false">FALSE()</f>
        <v>0</v>
      </c>
      <c r="G194" s="25" t="b">
        <f aca="false">FALSE()</f>
        <v>0</v>
      </c>
      <c r="H194" s="0" t="s">
        <v>338</v>
      </c>
    </row>
    <row r="195" customFormat="false" ht="15" hidden="false" customHeight="false" outlineLevel="0" collapsed="false">
      <c r="A195" s="0" t="s">
        <v>19</v>
      </c>
      <c r="B195" s="0" t="s">
        <v>18</v>
      </c>
      <c r="C195" s="0" t="n">
        <v>2017</v>
      </c>
      <c r="D195" s="0" t="n">
        <v>1103</v>
      </c>
      <c r="E195" s="0" t="s">
        <v>337</v>
      </c>
      <c r="F195" s="25" t="b">
        <f aca="false">FALSE()</f>
        <v>0</v>
      </c>
      <c r="G195" s="25" t="b">
        <f aca="false">FALSE()</f>
        <v>0</v>
      </c>
      <c r="H195" s="0" t="s">
        <v>339</v>
      </c>
    </row>
    <row r="196" customFormat="false" ht="15" hidden="false" customHeight="false" outlineLevel="0" collapsed="false">
      <c r="A196" s="0" t="s">
        <v>19</v>
      </c>
      <c r="B196" s="0" t="s">
        <v>18</v>
      </c>
      <c r="C196" s="0" t="n">
        <v>2018</v>
      </c>
      <c r="D196" s="0" t="n">
        <v>986</v>
      </c>
      <c r="E196" s="0" t="s">
        <v>337</v>
      </c>
      <c r="F196" s="25" t="b">
        <f aca="false">FALSE()</f>
        <v>0</v>
      </c>
      <c r="G196" s="25" t="b">
        <f aca="false">FALSE()</f>
        <v>0</v>
      </c>
      <c r="H196" s="0" t="s">
        <v>340</v>
      </c>
    </row>
    <row r="197" customFormat="false" ht="15" hidden="false" customHeight="false" outlineLevel="0" collapsed="false">
      <c r="A197" s="0" t="s">
        <v>19</v>
      </c>
      <c r="B197" s="0" t="s">
        <v>18</v>
      </c>
      <c r="C197" s="0" t="n">
        <v>2019</v>
      </c>
      <c r="D197" s="0" t="n">
        <v>969</v>
      </c>
      <c r="E197" s="0" t="s">
        <v>337</v>
      </c>
      <c r="F197" s="25" t="b">
        <f aca="false">FALSE()</f>
        <v>0</v>
      </c>
      <c r="G197" s="25" t="b">
        <f aca="false">FALSE()</f>
        <v>0</v>
      </c>
      <c r="H197" s="0" t="s">
        <v>341</v>
      </c>
    </row>
    <row r="198" customFormat="false" ht="15" hidden="false" customHeight="false" outlineLevel="0" collapsed="false">
      <c r="A198" s="0" t="s">
        <v>19</v>
      </c>
      <c r="B198" s="0" t="s">
        <v>18</v>
      </c>
      <c r="C198" s="0" t="n">
        <v>2020</v>
      </c>
      <c r="D198" s="0" t="n">
        <v>714</v>
      </c>
      <c r="E198" s="0" t="s">
        <v>337</v>
      </c>
      <c r="F198" s="25" t="b">
        <f aca="false">FALSE()</f>
        <v>0</v>
      </c>
      <c r="G198" s="25" t="b">
        <f aca="false">FALSE()</f>
        <v>0</v>
      </c>
      <c r="H198" s="0" t="s">
        <v>342</v>
      </c>
    </row>
    <row r="199" customFormat="false" ht="15" hidden="false" customHeight="false" outlineLevel="0" collapsed="false">
      <c r="A199" s="0" t="s">
        <v>19</v>
      </c>
      <c r="B199" s="0" t="s">
        <v>18</v>
      </c>
      <c r="C199" s="0" t="n">
        <v>2021</v>
      </c>
      <c r="D199" s="0" t="n">
        <v>658</v>
      </c>
      <c r="E199" s="0" t="s">
        <v>337</v>
      </c>
      <c r="F199" s="25" t="b">
        <f aca="false">FALSE()</f>
        <v>0</v>
      </c>
      <c r="G199" s="25" t="b">
        <f aca="false">FALSE()</f>
        <v>0</v>
      </c>
      <c r="H199" s="0" t="s">
        <v>343</v>
      </c>
    </row>
    <row r="200" customFormat="false" ht="15" hidden="false" customHeight="false" outlineLevel="0" collapsed="false">
      <c r="A200" s="0" t="s">
        <v>19</v>
      </c>
      <c r="B200" s="0" t="s">
        <v>18</v>
      </c>
      <c r="C200" s="0" t="n">
        <v>2022</v>
      </c>
      <c r="D200" s="0" t="n">
        <v>630</v>
      </c>
      <c r="E200" s="0" t="s">
        <v>337</v>
      </c>
      <c r="F200" s="25" t="b">
        <f aca="false">FALSE()</f>
        <v>0</v>
      </c>
      <c r="G200" s="25" t="b">
        <f aca="false">FALSE()</f>
        <v>0</v>
      </c>
      <c r="H200" s="0" t="s">
        <v>344</v>
      </c>
    </row>
    <row r="201" customFormat="false" ht="15" hidden="false" customHeight="false" outlineLevel="0" collapsed="false">
      <c r="A201" s="0" t="s">
        <v>19</v>
      </c>
      <c r="B201" s="0" t="s">
        <v>18</v>
      </c>
      <c r="C201" s="0" t="n">
        <v>2023</v>
      </c>
      <c r="D201" s="0" t="n">
        <v>579</v>
      </c>
      <c r="E201" s="0" t="s">
        <v>337</v>
      </c>
      <c r="F201" s="25" t="b">
        <f aca="false">FALSE()</f>
        <v>0</v>
      </c>
      <c r="G201" s="25" t="b">
        <f aca="false">FALSE()</f>
        <v>0</v>
      </c>
      <c r="H201" s="0" t="s">
        <v>345</v>
      </c>
    </row>
    <row r="202" customFormat="false" ht="15" hidden="false" customHeight="false" outlineLevel="0" collapsed="false">
      <c r="A202" s="0" t="s">
        <v>17</v>
      </c>
      <c r="B202" s="0" t="s">
        <v>16</v>
      </c>
      <c r="C202" s="0" t="n">
        <v>2016</v>
      </c>
      <c r="D202" s="0" t="n">
        <v>5841</v>
      </c>
      <c r="E202" s="0" t="s">
        <v>337</v>
      </c>
      <c r="F202" s="25" t="b">
        <f aca="false">FALSE()</f>
        <v>0</v>
      </c>
      <c r="G202" s="25" t="b">
        <f aca="false">FALSE()</f>
        <v>0</v>
      </c>
      <c r="H202" s="0" t="s">
        <v>346</v>
      </c>
    </row>
    <row r="203" customFormat="false" ht="15" hidden="false" customHeight="false" outlineLevel="0" collapsed="false">
      <c r="A203" s="0" t="s">
        <v>17</v>
      </c>
      <c r="B203" s="0" t="s">
        <v>16</v>
      </c>
      <c r="C203" s="0" t="n">
        <v>2017</v>
      </c>
      <c r="D203" s="0" t="n">
        <v>7172</v>
      </c>
      <c r="E203" s="0" t="s">
        <v>337</v>
      </c>
      <c r="F203" s="25" t="b">
        <f aca="false">FALSE()</f>
        <v>0</v>
      </c>
      <c r="G203" s="25" t="b">
        <f aca="false">FALSE()</f>
        <v>0</v>
      </c>
      <c r="H203" s="0" t="s">
        <v>347</v>
      </c>
    </row>
    <row r="204" customFormat="false" ht="15" hidden="false" customHeight="false" outlineLevel="0" collapsed="false">
      <c r="A204" s="0" t="s">
        <v>17</v>
      </c>
      <c r="B204" s="0" t="s">
        <v>16</v>
      </c>
      <c r="C204" s="0" t="n">
        <v>2018</v>
      </c>
      <c r="D204" s="0" t="n">
        <v>8196</v>
      </c>
      <c r="E204" s="0" t="s">
        <v>337</v>
      </c>
      <c r="F204" s="25" t="b">
        <f aca="false">FALSE()</f>
        <v>0</v>
      </c>
      <c r="G204" s="25" t="b">
        <f aca="false">FALSE()</f>
        <v>0</v>
      </c>
      <c r="H204" s="0" t="s">
        <v>348</v>
      </c>
    </row>
    <row r="205" customFormat="false" ht="15" hidden="false" customHeight="false" outlineLevel="0" collapsed="false">
      <c r="A205" s="0" t="s">
        <v>17</v>
      </c>
      <c r="B205" s="0" t="s">
        <v>16</v>
      </c>
      <c r="C205" s="0" t="n">
        <v>2019</v>
      </c>
      <c r="D205" s="0" t="n">
        <v>9480</v>
      </c>
      <c r="E205" s="0" t="s">
        <v>337</v>
      </c>
      <c r="F205" s="25" t="b">
        <f aca="false">FALSE()</f>
        <v>0</v>
      </c>
      <c r="G205" s="25" t="b">
        <f aca="false">FALSE()</f>
        <v>0</v>
      </c>
      <c r="H205" s="0" t="s">
        <v>349</v>
      </c>
    </row>
    <row r="206" customFormat="false" ht="15" hidden="false" customHeight="false" outlineLevel="0" collapsed="false">
      <c r="A206" s="0" t="s">
        <v>17</v>
      </c>
      <c r="B206" s="0" t="s">
        <v>16</v>
      </c>
      <c r="C206" s="0" t="n">
        <v>2020</v>
      </c>
      <c r="D206" s="0" t="n">
        <v>8970</v>
      </c>
      <c r="E206" s="0" t="s">
        <v>337</v>
      </c>
      <c r="F206" s="25" t="b">
        <f aca="false">FALSE()</f>
        <v>0</v>
      </c>
      <c r="G206" s="25" t="b">
        <f aca="false">FALSE()</f>
        <v>0</v>
      </c>
      <c r="H206" s="0" t="s">
        <v>350</v>
      </c>
    </row>
    <row r="207" customFormat="false" ht="15" hidden="false" customHeight="false" outlineLevel="0" collapsed="false">
      <c r="A207" s="0" t="s">
        <v>17</v>
      </c>
      <c r="B207" s="0" t="s">
        <v>16</v>
      </c>
      <c r="C207" s="0" t="n">
        <v>2021</v>
      </c>
      <c r="D207" s="0" t="n">
        <v>9428</v>
      </c>
      <c r="E207" s="0" t="s">
        <v>337</v>
      </c>
      <c r="F207" s="25" t="b">
        <f aca="false">FALSE()</f>
        <v>0</v>
      </c>
      <c r="G207" s="25" t="b">
        <f aca="false">FALSE()</f>
        <v>0</v>
      </c>
      <c r="H207" s="0" t="s">
        <v>351</v>
      </c>
    </row>
    <row r="208" customFormat="false" ht="15" hidden="false" customHeight="false" outlineLevel="0" collapsed="false">
      <c r="A208" s="0" t="s">
        <v>17</v>
      </c>
      <c r="B208" s="0" t="s">
        <v>16</v>
      </c>
      <c r="C208" s="0" t="n">
        <v>2022</v>
      </c>
      <c r="D208" s="0" t="n">
        <v>9725</v>
      </c>
      <c r="E208" s="0" t="s">
        <v>337</v>
      </c>
      <c r="F208" s="25" t="b">
        <f aca="false">FALSE()</f>
        <v>0</v>
      </c>
      <c r="G208" s="25" t="b">
        <f aca="false">FALSE()</f>
        <v>0</v>
      </c>
      <c r="H208" s="0" t="s">
        <v>352</v>
      </c>
    </row>
    <row r="209" customFormat="false" ht="15" hidden="false" customHeight="false" outlineLevel="0" collapsed="false">
      <c r="A209" s="0" t="s">
        <v>17</v>
      </c>
      <c r="B209" s="0" t="s">
        <v>16</v>
      </c>
      <c r="C209" s="0" t="n">
        <v>2023</v>
      </c>
      <c r="D209" s="0" t="n">
        <v>9706</v>
      </c>
      <c r="E209" s="0" t="s">
        <v>337</v>
      </c>
      <c r="F209" s="25" t="b">
        <f aca="false">FALSE()</f>
        <v>0</v>
      </c>
      <c r="G209" s="25" t="b">
        <f aca="false">FALSE()</f>
        <v>0</v>
      </c>
      <c r="H209" s="0" t="s">
        <v>353</v>
      </c>
    </row>
    <row r="210" customFormat="false" ht="15" hidden="false" customHeight="false" outlineLevel="0" collapsed="false">
      <c r="A210" s="0" t="s">
        <v>21</v>
      </c>
      <c r="B210" s="0" t="s">
        <v>20</v>
      </c>
      <c r="C210" s="0" t="n">
        <v>2016</v>
      </c>
      <c r="D210" s="0" t="n">
        <v>18483</v>
      </c>
      <c r="E210" s="0" t="s">
        <v>337</v>
      </c>
      <c r="F210" s="25" t="b">
        <f aca="false">TRUE()</f>
        <v>1</v>
      </c>
      <c r="G210" s="25" t="b">
        <f aca="false">FALSE()</f>
        <v>0</v>
      </c>
      <c r="H210" s="0" t="s">
        <v>354</v>
      </c>
    </row>
    <row r="211" customFormat="false" ht="15" hidden="false" customHeight="false" outlineLevel="0" collapsed="false">
      <c r="A211" s="0" t="s">
        <v>21</v>
      </c>
      <c r="B211" s="0" t="s">
        <v>20</v>
      </c>
      <c r="C211" s="0" t="n">
        <v>2017</v>
      </c>
      <c r="D211" s="0" t="n">
        <v>21218</v>
      </c>
      <c r="E211" s="0" t="s">
        <v>337</v>
      </c>
      <c r="F211" s="25" t="b">
        <f aca="false">TRUE()</f>
        <v>1</v>
      </c>
      <c r="G211" s="25" t="b">
        <f aca="false">FALSE()</f>
        <v>0</v>
      </c>
      <c r="H211" s="0" t="s">
        <v>355</v>
      </c>
    </row>
    <row r="212" customFormat="false" ht="15" hidden="false" customHeight="false" outlineLevel="0" collapsed="false">
      <c r="A212" s="0" t="s">
        <v>21</v>
      </c>
      <c r="B212" s="0" t="s">
        <v>20</v>
      </c>
      <c r="C212" s="0" t="n">
        <v>2018</v>
      </c>
      <c r="D212" s="0" t="n">
        <v>21915</v>
      </c>
      <c r="E212" s="0" t="s">
        <v>337</v>
      </c>
      <c r="F212" s="25" t="b">
        <f aca="false">TRUE()</f>
        <v>1</v>
      </c>
      <c r="G212" s="25" t="b">
        <f aca="false">FALSE()</f>
        <v>0</v>
      </c>
      <c r="H212" s="0" t="s">
        <v>356</v>
      </c>
    </row>
    <row r="213" customFormat="false" ht="15" hidden="false" customHeight="false" outlineLevel="0" collapsed="false">
      <c r="A213" s="0" t="s">
        <v>21</v>
      </c>
      <c r="B213" s="0" t="s">
        <v>20</v>
      </c>
      <c r="C213" s="0" t="n">
        <v>2019</v>
      </c>
      <c r="D213" s="0" t="n">
        <v>23640</v>
      </c>
      <c r="E213" s="0" t="s">
        <v>337</v>
      </c>
      <c r="F213" s="25" t="b">
        <f aca="false">TRUE()</f>
        <v>1</v>
      </c>
      <c r="G213" s="25" t="b">
        <f aca="false">FALSE()</f>
        <v>0</v>
      </c>
      <c r="H213" s="0" t="s">
        <v>357</v>
      </c>
    </row>
    <row r="214" customFormat="false" ht="15" hidden="false" customHeight="false" outlineLevel="0" collapsed="false">
      <c r="A214" s="0" t="s">
        <v>21</v>
      </c>
      <c r="B214" s="0" t="s">
        <v>20</v>
      </c>
      <c r="C214" s="0" t="n">
        <v>2020</v>
      </c>
      <c r="D214" s="0" t="n">
        <v>19844</v>
      </c>
      <c r="E214" s="0" t="s">
        <v>337</v>
      </c>
      <c r="F214" s="25" t="b">
        <f aca="false">TRUE()</f>
        <v>1</v>
      </c>
      <c r="G214" s="25" t="b">
        <f aca="false">FALSE()</f>
        <v>0</v>
      </c>
      <c r="H214" s="0" t="s">
        <v>358</v>
      </c>
    </row>
    <row r="215" customFormat="false" ht="15" hidden="false" customHeight="false" outlineLevel="0" collapsed="false">
      <c r="A215" s="0" t="s">
        <v>21</v>
      </c>
      <c r="B215" s="0" t="s">
        <v>20</v>
      </c>
      <c r="C215" s="0" t="n">
        <v>2021</v>
      </c>
      <c r="D215" s="0" t="n">
        <v>21234</v>
      </c>
      <c r="E215" s="0" t="s">
        <v>337</v>
      </c>
      <c r="F215" s="25" t="b">
        <f aca="false">TRUE()</f>
        <v>1</v>
      </c>
      <c r="G215" s="25" t="b">
        <f aca="false">FALSE()</f>
        <v>0</v>
      </c>
      <c r="H215" s="0" t="s">
        <v>359</v>
      </c>
    </row>
    <row r="216" customFormat="false" ht="15" hidden="false" customHeight="false" outlineLevel="0" collapsed="false">
      <c r="A216" s="0" t="s">
        <v>21</v>
      </c>
      <c r="B216" s="0" t="s">
        <v>20</v>
      </c>
      <c r="C216" s="0" t="n">
        <v>2022</v>
      </c>
      <c r="D216" s="0" t="n">
        <v>22511</v>
      </c>
      <c r="E216" s="0" t="s">
        <v>337</v>
      </c>
      <c r="F216" s="25" t="b">
        <f aca="false">TRUE()</f>
        <v>1</v>
      </c>
      <c r="G216" s="25" t="b">
        <f aca="false">FALSE()</f>
        <v>0</v>
      </c>
      <c r="H216" s="0" t="s">
        <v>360</v>
      </c>
    </row>
    <row r="217" customFormat="false" ht="15" hidden="false" customHeight="false" outlineLevel="0" collapsed="false">
      <c r="A217" s="0" t="s">
        <v>21</v>
      </c>
      <c r="B217" s="0" t="s">
        <v>20</v>
      </c>
      <c r="C217" s="0" t="n">
        <v>2023</v>
      </c>
      <c r="D217" s="0" t="n">
        <v>21427</v>
      </c>
      <c r="E217" s="0" t="s">
        <v>337</v>
      </c>
      <c r="F217" s="25" t="b">
        <f aca="false">TRUE()</f>
        <v>1</v>
      </c>
      <c r="G217" s="25" t="b">
        <f aca="false">FALSE()</f>
        <v>0</v>
      </c>
      <c r="H217" s="0" t="s">
        <v>361</v>
      </c>
    </row>
    <row r="218" customFormat="false" ht="15" hidden="false" customHeight="false" outlineLevel="0" collapsed="false">
      <c r="A218" s="0" t="s">
        <v>15</v>
      </c>
      <c r="B218" s="0" t="s">
        <v>14</v>
      </c>
      <c r="C218" s="0" t="n">
        <v>2016</v>
      </c>
      <c r="D218" s="0" t="n">
        <v>11663</v>
      </c>
      <c r="E218" s="0" t="s">
        <v>337</v>
      </c>
      <c r="F218" s="25" t="b">
        <f aca="false">FALSE()</f>
        <v>0</v>
      </c>
      <c r="G218" s="25" t="b">
        <f aca="false">FALSE()</f>
        <v>0</v>
      </c>
      <c r="H218" s="0" t="s">
        <v>362</v>
      </c>
    </row>
    <row r="219" customFormat="false" ht="15" hidden="false" customHeight="false" outlineLevel="0" collapsed="false">
      <c r="A219" s="0" t="s">
        <v>15</v>
      </c>
      <c r="B219" s="0" t="s">
        <v>14</v>
      </c>
      <c r="C219" s="0" t="n">
        <v>2017</v>
      </c>
      <c r="D219" s="0" t="n">
        <v>12943</v>
      </c>
      <c r="E219" s="0" t="s">
        <v>337</v>
      </c>
      <c r="F219" s="25" t="b">
        <f aca="false">FALSE()</f>
        <v>0</v>
      </c>
      <c r="G219" s="25" t="b">
        <f aca="false">FALSE()</f>
        <v>0</v>
      </c>
      <c r="H219" s="0" t="s">
        <v>363</v>
      </c>
    </row>
    <row r="220" customFormat="false" ht="15" hidden="false" customHeight="false" outlineLevel="0" collapsed="false">
      <c r="A220" s="0" t="s">
        <v>15</v>
      </c>
      <c r="B220" s="0" t="s">
        <v>14</v>
      </c>
      <c r="C220" s="0" t="n">
        <v>2018</v>
      </c>
      <c r="D220" s="0" t="n">
        <v>12733</v>
      </c>
      <c r="E220" s="0" t="s">
        <v>337</v>
      </c>
      <c r="F220" s="25" t="b">
        <f aca="false">FALSE()</f>
        <v>0</v>
      </c>
      <c r="G220" s="25" t="b">
        <f aca="false">FALSE()</f>
        <v>0</v>
      </c>
      <c r="H220" s="0" t="s">
        <v>364</v>
      </c>
    </row>
    <row r="221" customFormat="false" ht="15" hidden="false" customHeight="false" outlineLevel="0" collapsed="false">
      <c r="A221" s="0" t="s">
        <v>15</v>
      </c>
      <c r="B221" s="0" t="s">
        <v>14</v>
      </c>
      <c r="C221" s="0" t="n">
        <v>2019</v>
      </c>
      <c r="D221" s="0" t="n">
        <v>13191</v>
      </c>
      <c r="E221" s="0" t="s">
        <v>337</v>
      </c>
      <c r="F221" s="25" t="b">
        <f aca="false">FALSE()</f>
        <v>0</v>
      </c>
      <c r="G221" s="25" t="b">
        <f aca="false">FALSE()</f>
        <v>0</v>
      </c>
      <c r="H221" s="0" t="s">
        <v>365</v>
      </c>
    </row>
    <row r="222" customFormat="false" ht="15" hidden="false" customHeight="false" outlineLevel="0" collapsed="false">
      <c r="A222" s="0" t="s">
        <v>15</v>
      </c>
      <c r="B222" s="0" t="s">
        <v>14</v>
      </c>
      <c r="C222" s="0" t="n">
        <v>2020</v>
      </c>
      <c r="D222" s="0" t="n">
        <v>10160</v>
      </c>
      <c r="E222" s="0" t="s">
        <v>337</v>
      </c>
      <c r="F222" s="25" t="b">
        <f aca="false">FALSE()</f>
        <v>0</v>
      </c>
      <c r="G222" s="25" t="b">
        <f aca="false">FALSE()</f>
        <v>0</v>
      </c>
      <c r="H222" s="0" t="s">
        <v>366</v>
      </c>
    </row>
    <row r="223" customFormat="false" ht="15" hidden="false" customHeight="false" outlineLevel="0" collapsed="false">
      <c r="A223" s="0" t="s">
        <v>15</v>
      </c>
      <c r="B223" s="0" t="s">
        <v>14</v>
      </c>
      <c r="C223" s="0" t="n">
        <v>2021</v>
      </c>
      <c r="D223" s="0" t="n">
        <v>11148</v>
      </c>
      <c r="E223" s="0" t="s">
        <v>337</v>
      </c>
      <c r="F223" s="25" t="b">
        <f aca="false">FALSE()</f>
        <v>0</v>
      </c>
      <c r="G223" s="25" t="b">
        <f aca="false">FALSE()</f>
        <v>0</v>
      </c>
      <c r="H223" s="0" t="s">
        <v>367</v>
      </c>
    </row>
    <row r="224" customFormat="false" ht="15" hidden="false" customHeight="false" outlineLevel="0" collapsed="false">
      <c r="A224" s="0" t="s">
        <v>15</v>
      </c>
      <c r="B224" s="0" t="s">
        <v>14</v>
      </c>
      <c r="C224" s="0" t="n">
        <v>2022</v>
      </c>
      <c r="D224" s="0" t="n">
        <v>12156</v>
      </c>
      <c r="E224" s="0" t="s">
        <v>337</v>
      </c>
      <c r="F224" s="25" t="b">
        <f aca="false">FALSE()</f>
        <v>0</v>
      </c>
      <c r="G224" s="25" t="b">
        <f aca="false">FALSE()</f>
        <v>0</v>
      </c>
      <c r="H224" s="0" t="s">
        <v>368</v>
      </c>
    </row>
    <row r="225" customFormat="false" ht="15" hidden="false" customHeight="false" outlineLevel="0" collapsed="false">
      <c r="A225" s="0" t="s">
        <v>15</v>
      </c>
      <c r="B225" s="0" t="s">
        <v>14</v>
      </c>
      <c r="C225" s="0" t="n">
        <v>2023</v>
      </c>
      <c r="D225" s="0" t="n">
        <v>11142</v>
      </c>
      <c r="E225" s="0" t="s">
        <v>337</v>
      </c>
      <c r="F225" s="25" t="b">
        <f aca="false">FALSE()</f>
        <v>0</v>
      </c>
      <c r="G225" s="25" t="b">
        <f aca="false">FALSE()</f>
        <v>0</v>
      </c>
      <c r="H225" s="0" t="s">
        <v>369</v>
      </c>
    </row>
    <row r="226" customFormat="false" ht="15" hidden="false" customHeight="false" outlineLevel="0" collapsed="false">
      <c r="A226" s="0" t="s">
        <v>31</v>
      </c>
      <c r="B226" s="0" t="s">
        <v>30</v>
      </c>
      <c r="C226" s="0" t="n">
        <v>2016</v>
      </c>
      <c r="D226" s="0" t="n">
        <v>108</v>
      </c>
      <c r="E226" s="0" t="s">
        <v>311</v>
      </c>
      <c r="F226" s="25" t="b">
        <f aca="false">FALSE()</f>
        <v>0</v>
      </c>
      <c r="G226" s="25" t="b">
        <f aca="false">FALSE()</f>
        <v>0</v>
      </c>
      <c r="H226" s="0" t="s">
        <v>370</v>
      </c>
    </row>
    <row r="227" customFormat="false" ht="15" hidden="false" customHeight="false" outlineLevel="0" collapsed="false">
      <c r="A227" s="0" t="s">
        <v>31</v>
      </c>
      <c r="B227" s="0" t="s">
        <v>30</v>
      </c>
      <c r="C227" s="0" t="n">
        <v>2017</v>
      </c>
      <c r="D227" s="0" t="n">
        <v>115</v>
      </c>
      <c r="E227" s="0" t="s">
        <v>311</v>
      </c>
      <c r="F227" s="25" t="b">
        <f aca="false">FALSE()</f>
        <v>0</v>
      </c>
      <c r="G227" s="25" t="b">
        <f aca="false">FALSE()</f>
        <v>0</v>
      </c>
      <c r="H227" s="0" t="s">
        <v>371</v>
      </c>
    </row>
    <row r="228" customFormat="false" ht="15" hidden="false" customHeight="false" outlineLevel="0" collapsed="false">
      <c r="A228" s="0" t="s">
        <v>31</v>
      </c>
      <c r="B228" s="0" t="s">
        <v>30</v>
      </c>
      <c r="C228" s="0" t="n">
        <v>2018</v>
      </c>
      <c r="D228" s="0" t="n">
        <v>121</v>
      </c>
      <c r="E228" s="0" t="s">
        <v>311</v>
      </c>
      <c r="F228" s="25" t="b">
        <f aca="false">FALSE()</f>
        <v>0</v>
      </c>
      <c r="G228" s="25" t="b">
        <f aca="false">FALSE()</f>
        <v>0</v>
      </c>
      <c r="H228" s="0" t="s">
        <v>372</v>
      </c>
    </row>
    <row r="229" customFormat="false" ht="15" hidden="false" customHeight="false" outlineLevel="0" collapsed="false">
      <c r="A229" s="0" t="s">
        <v>31</v>
      </c>
      <c r="B229" s="0" t="s">
        <v>30</v>
      </c>
      <c r="C229" s="0" t="n">
        <v>2019</v>
      </c>
      <c r="D229" s="0" t="n">
        <v>130</v>
      </c>
      <c r="E229" s="0" t="s">
        <v>311</v>
      </c>
      <c r="F229" s="25" t="b">
        <f aca="false">FALSE()</f>
        <v>0</v>
      </c>
      <c r="G229" s="25" t="b">
        <f aca="false">FALSE()</f>
        <v>0</v>
      </c>
      <c r="H229" s="0" t="s">
        <v>373</v>
      </c>
    </row>
    <row r="230" customFormat="false" ht="15" hidden="false" customHeight="false" outlineLevel="0" collapsed="false">
      <c r="A230" s="0" t="s">
        <v>31</v>
      </c>
      <c r="B230" s="0" t="s">
        <v>30</v>
      </c>
      <c r="C230" s="0" t="n">
        <v>2020</v>
      </c>
      <c r="D230" s="0" t="n">
        <v>96</v>
      </c>
      <c r="E230" s="0" t="s">
        <v>311</v>
      </c>
      <c r="F230" s="25" t="b">
        <f aca="false">FALSE()</f>
        <v>0</v>
      </c>
      <c r="G230" s="25" t="b">
        <f aca="false">FALSE()</f>
        <v>0</v>
      </c>
      <c r="H230" s="0" t="s">
        <v>374</v>
      </c>
    </row>
    <row r="231" customFormat="false" ht="15" hidden="false" customHeight="false" outlineLevel="0" collapsed="false">
      <c r="A231" s="0" t="s">
        <v>31</v>
      </c>
      <c r="B231" s="0" t="s">
        <v>30</v>
      </c>
      <c r="C231" s="0" t="n">
        <v>2021</v>
      </c>
      <c r="D231" s="0" t="n">
        <v>104</v>
      </c>
      <c r="E231" s="0" t="s">
        <v>311</v>
      </c>
      <c r="F231" s="25" t="b">
        <f aca="false">FALSE()</f>
        <v>0</v>
      </c>
      <c r="G231" s="25" t="b">
        <f aca="false">FALSE()</f>
        <v>0</v>
      </c>
      <c r="H231" s="0" t="s">
        <v>375</v>
      </c>
    </row>
    <row r="232" customFormat="false" ht="15" hidden="false" customHeight="false" outlineLevel="0" collapsed="false">
      <c r="A232" s="0" t="s">
        <v>31</v>
      </c>
      <c r="B232" s="0" t="s">
        <v>30</v>
      </c>
      <c r="C232" s="0" t="n">
        <v>2022</v>
      </c>
      <c r="D232" s="0" t="n">
        <v>112</v>
      </c>
      <c r="E232" s="0" t="s">
        <v>311</v>
      </c>
      <c r="F232" s="25" t="b">
        <f aca="false">FALSE()</f>
        <v>0</v>
      </c>
      <c r="G232" s="25" t="b">
        <f aca="false">FALSE()</f>
        <v>0</v>
      </c>
      <c r="H232" s="0" t="s">
        <v>376</v>
      </c>
    </row>
    <row r="233" customFormat="false" ht="15" hidden="false" customHeight="false" outlineLevel="0" collapsed="false">
      <c r="A233" s="0" t="s">
        <v>31</v>
      </c>
      <c r="B233" s="0" t="s">
        <v>30</v>
      </c>
      <c r="C233" s="0" t="n">
        <v>2023</v>
      </c>
      <c r="D233" s="0" t="n">
        <v>107</v>
      </c>
      <c r="E233" s="0" t="s">
        <v>311</v>
      </c>
      <c r="F233" s="25" t="b">
        <f aca="false">FALSE()</f>
        <v>0</v>
      </c>
      <c r="G233" s="25" t="b">
        <f aca="false">FALSE()</f>
        <v>0</v>
      </c>
      <c r="H233" s="0" t="s">
        <v>377</v>
      </c>
    </row>
    <row r="234" customFormat="false" ht="15" hidden="false" customHeight="false" outlineLevel="0" collapsed="false">
      <c r="A234" s="0" t="s">
        <v>41</v>
      </c>
      <c r="B234" s="0" t="s">
        <v>40</v>
      </c>
      <c r="C234" s="0" t="n">
        <v>2016</v>
      </c>
      <c r="D234" s="0" t="n">
        <v>-185</v>
      </c>
      <c r="E234" s="0" t="s">
        <v>146</v>
      </c>
      <c r="F234" s="25" t="b">
        <f aca="false">FALSE()</f>
        <v>0</v>
      </c>
      <c r="G234" s="25" t="b">
        <f aca="false">FALSE()</f>
        <v>0</v>
      </c>
      <c r="H234" s="0" t="s">
        <v>378</v>
      </c>
    </row>
    <row r="235" customFormat="false" ht="15" hidden="false" customHeight="false" outlineLevel="0" collapsed="false">
      <c r="A235" s="0" t="s">
        <v>41</v>
      </c>
      <c r="B235" s="0" t="s">
        <v>40</v>
      </c>
      <c r="C235" s="0" t="n">
        <v>2017</v>
      </c>
      <c r="D235" s="0" t="n">
        <v>-212</v>
      </c>
      <c r="E235" s="0" t="s">
        <v>146</v>
      </c>
      <c r="F235" s="25" t="b">
        <f aca="false">FALSE()</f>
        <v>0</v>
      </c>
      <c r="G235" s="25" t="b">
        <f aca="false">FALSE()</f>
        <v>0</v>
      </c>
      <c r="H235" s="0" t="s">
        <v>379</v>
      </c>
    </row>
    <row r="236" customFormat="false" ht="15" hidden="false" customHeight="false" outlineLevel="0" collapsed="false">
      <c r="A236" s="0" t="s">
        <v>41</v>
      </c>
      <c r="B236" s="0" t="s">
        <v>40</v>
      </c>
      <c r="C236" s="0" t="n">
        <v>2018</v>
      </c>
      <c r="D236" s="0" t="n">
        <v>-219</v>
      </c>
      <c r="E236" s="0" t="s">
        <v>146</v>
      </c>
      <c r="F236" s="25" t="b">
        <f aca="false">FALSE()</f>
        <v>0</v>
      </c>
      <c r="G236" s="25" t="b">
        <f aca="false">FALSE()</f>
        <v>0</v>
      </c>
      <c r="H236" s="0" t="s">
        <v>380</v>
      </c>
    </row>
    <row r="237" customFormat="false" ht="15" hidden="false" customHeight="false" outlineLevel="0" collapsed="false">
      <c r="A237" s="0" t="s">
        <v>41</v>
      </c>
      <c r="B237" s="0" t="s">
        <v>40</v>
      </c>
      <c r="C237" s="0" t="n">
        <v>2019</v>
      </c>
      <c r="D237" s="0" t="n">
        <v>-236</v>
      </c>
      <c r="E237" s="0" t="s">
        <v>146</v>
      </c>
      <c r="F237" s="25" t="b">
        <f aca="false">FALSE()</f>
        <v>0</v>
      </c>
      <c r="G237" s="25" t="b">
        <f aca="false">FALSE()</f>
        <v>0</v>
      </c>
      <c r="H237" s="0" t="s">
        <v>381</v>
      </c>
    </row>
    <row r="238" customFormat="false" ht="15" hidden="false" customHeight="false" outlineLevel="0" collapsed="false">
      <c r="A238" s="0" t="s">
        <v>41</v>
      </c>
      <c r="B238" s="0" t="s">
        <v>40</v>
      </c>
      <c r="C238" s="0" t="n">
        <v>2020</v>
      </c>
      <c r="D238" s="0" t="n">
        <v>-198</v>
      </c>
      <c r="E238" s="0" t="s">
        <v>146</v>
      </c>
      <c r="F238" s="25" t="b">
        <f aca="false">FALSE()</f>
        <v>0</v>
      </c>
      <c r="G238" s="25" t="b">
        <f aca="false">FALSE()</f>
        <v>0</v>
      </c>
      <c r="H238" s="0" t="s">
        <v>382</v>
      </c>
    </row>
    <row r="239" customFormat="false" ht="15" hidden="false" customHeight="false" outlineLevel="0" collapsed="false">
      <c r="A239" s="0" t="s">
        <v>41</v>
      </c>
      <c r="B239" s="0" t="s">
        <v>40</v>
      </c>
      <c r="C239" s="0" t="n">
        <v>2021</v>
      </c>
      <c r="D239" s="0" t="n">
        <v>-212</v>
      </c>
      <c r="E239" s="0" t="s">
        <v>146</v>
      </c>
      <c r="F239" s="25" t="b">
        <f aca="false">FALSE()</f>
        <v>0</v>
      </c>
      <c r="G239" s="25" t="b">
        <f aca="false">FALSE()</f>
        <v>0</v>
      </c>
      <c r="H239" s="0" t="s">
        <v>383</v>
      </c>
    </row>
    <row r="240" customFormat="false" ht="15" hidden="false" customHeight="false" outlineLevel="0" collapsed="false">
      <c r="A240" s="0" t="s">
        <v>41</v>
      </c>
      <c r="B240" s="0" t="s">
        <v>40</v>
      </c>
      <c r="C240" s="0" t="n">
        <v>2022</v>
      </c>
      <c r="D240" s="0" t="n">
        <v>-225</v>
      </c>
      <c r="E240" s="0" t="s">
        <v>146</v>
      </c>
      <c r="F240" s="25" t="b">
        <f aca="false">FALSE()</f>
        <v>0</v>
      </c>
      <c r="G240" s="25" t="b">
        <f aca="false">FALSE()</f>
        <v>0</v>
      </c>
      <c r="H240" s="0" t="s">
        <v>384</v>
      </c>
    </row>
    <row r="241" customFormat="false" ht="15" hidden="false" customHeight="false" outlineLevel="0" collapsed="false">
      <c r="A241" s="0" t="s">
        <v>41</v>
      </c>
      <c r="B241" s="0" t="s">
        <v>40</v>
      </c>
      <c r="C241" s="0" t="n">
        <v>2023</v>
      </c>
      <c r="D241" s="0" t="n">
        <v>-257</v>
      </c>
      <c r="E241" s="0" t="s">
        <v>146</v>
      </c>
      <c r="F241" s="25" t="b">
        <f aca="false">FALSE()</f>
        <v>0</v>
      </c>
      <c r="G241" s="25" t="b">
        <f aca="false">FALSE()</f>
        <v>0</v>
      </c>
      <c r="H241" s="0" t="s">
        <v>385</v>
      </c>
    </row>
    <row r="242" customFormat="false" ht="15" hidden="false" customHeight="false" outlineLevel="0" collapsed="false">
      <c r="A242" s="0" t="s">
        <v>57</v>
      </c>
      <c r="B242" s="0" t="s">
        <v>56</v>
      </c>
      <c r="C242" s="0" t="n">
        <v>2016</v>
      </c>
      <c r="D242" s="0" t="n">
        <v>-392</v>
      </c>
      <c r="E242" s="0" t="s">
        <v>386</v>
      </c>
      <c r="F242" s="25" t="b">
        <f aca="false">FALSE()</f>
        <v>0</v>
      </c>
      <c r="G242" s="25" t="b">
        <f aca="false">FALSE()</f>
        <v>0</v>
      </c>
      <c r="H242" s="0" t="s">
        <v>387</v>
      </c>
    </row>
    <row r="243" customFormat="false" ht="15" hidden="false" customHeight="false" outlineLevel="0" collapsed="false">
      <c r="A243" s="0" t="s">
        <v>57</v>
      </c>
      <c r="B243" s="0" t="s">
        <v>56</v>
      </c>
      <c r="C243" s="0" t="n">
        <v>2017</v>
      </c>
      <c r="D243" s="0" t="n">
        <v>-540</v>
      </c>
      <c r="E243" s="0" t="s">
        <v>386</v>
      </c>
      <c r="F243" s="25" t="b">
        <f aca="false">FALSE()</f>
        <v>0</v>
      </c>
      <c r="G243" s="25" t="b">
        <f aca="false">FALSE()</f>
        <v>0</v>
      </c>
      <c r="H243" s="0" t="s">
        <v>388</v>
      </c>
    </row>
    <row r="244" customFormat="false" ht="15" hidden="false" customHeight="false" outlineLevel="0" collapsed="false">
      <c r="A244" s="0" t="s">
        <v>57</v>
      </c>
      <c r="B244" s="0" t="s">
        <v>56</v>
      </c>
      <c r="C244" s="0" t="n">
        <v>2018</v>
      </c>
      <c r="D244" s="0" t="n">
        <v>-597</v>
      </c>
      <c r="E244" s="0" t="s">
        <v>386</v>
      </c>
      <c r="F244" s="25" t="b">
        <f aca="false">FALSE()</f>
        <v>0</v>
      </c>
      <c r="G244" s="25" t="b">
        <f aca="false">FALSE()</f>
        <v>0</v>
      </c>
      <c r="H244" s="0" t="s">
        <v>389</v>
      </c>
    </row>
    <row r="245" customFormat="false" ht="15" hidden="false" customHeight="false" outlineLevel="0" collapsed="false">
      <c r="A245" s="0" t="s">
        <v>57</v>
      </c>
      <c r="B245" s="0" t="s">
        <v>56</v>
      </c>
      <c r="C245" s="0" t="n">
        <v>2019</v>
      </c>
      <c r="D245" s="0" t="n">
        <v>-622</v>
      </c>
      <c r="E245" s="0" t="s">
        <v>386</v>
      </c>
      <c r="F245" s="25" t="b">
        <f aca="false">FALSE()</f>
        <v>0</v>
      </c>
      <c r="G245" s="25" t="b">
        <f aca="false">FALSE()</f>
        <v>0</v>
      </c>
      <c r="H245" s="0" t="s">
        <v>390</v>
      </c>
    </row>
    <row r="246" customFormat="false" ht="15" hidden="false" customHeight="false" outlineLevel="0" collapsed="false">
      <c r="A246" s="0" t="s">
        <v>57</v>
      </c>
      <c r="B246" s="0" t="s">
        <v>56</v>
      </c>
      <c r="C246" s="0" t="n">
        <v>2020</v>
      </c>
      <c r="D246" s="0" t="n">
        <v>-228</v>
      </c>
      <c r="E246" s="0" t="s">
        <v>386</v>
      </c>
      <c r="F246" s="25" t="b">
        <f aca="false">FALSE()</f>
        <v>0</v>
      </c>
      <c r="G246" s="25" t="b">
        <f aca="false">FALSE()</f>
        <v>0</v>
      </c>
      <c r="H246" s="0" t="s">
        <v>391</v>
      </c>
    </row>
    <row r="247" customFormat="false" ht="15" hidden="false" customHeight="false" outlineLevel="0" collapsed="false">
      <c r="A247" s="0" t="s">
        <v>57</v>
      </c>
      <c r="B247" s="0" t="s">
        <v>56</v>
      </c>
      <c r="C247" s="0" t="n">
        <v>2021</v>
      </c>
      <c r="D247" s="0" t="n">
        <v>-475</v>
      </c>
      <c r="E247" s="0" t="s">
        <v>386</v>
      </c>
      <c r="F247" s="25" t="b">
        <f aca="false">FALSE()</f>
        <v>0</v>
      </c>
      <c r="G247" s="25" t="b">
        <f aca="false">FALSE()</f>
        <v>0</v>
      </c>
      <c r="H247" s="0" t="s">
        <v>392</v>
      </c>
    </row>
    <row r="248" customFormat="false" ht="15" hidden="false" customHeight="false" outlineLevel="0" collapsed="false">
      <c r="A248" s="0" t="s">
        <v>57</v>
      </c>
      <c r="B248" s="0" t="s">
        <v>56</v>
      </c>
      <c r="C248" s="0" t="n">
        <v>2022</v>
      </c>
      <c r="D248" s="0" t="n">
        <v>-174</v>
      </c>
      <c r="E248" s="0" t="s">
        <v>386</v>
      </c>
      <c r="F248" s="25" t="b">
        <f aca="false">FALSE()</f>
        <v>0</v>
      </c>
      <c r="G248" s="25" t="b">
        <f aca="false">FALSE()</f>
        <v>0</v>
      </c>
      <c r="H248" s="0" t="s">
        <v>393</v>
      </c>
    </row>
    <row r="249" customFormat="false" ht="15" hidden="false" customHeight="false" outlineLevel="0" collapsed="false">
      <c r="A249" s="0" t="s">
        <v>57</v>
      </c>
      <c r="B249" s="0" t="s">
        <v>56</v>
      </c>
      <c r="C249" s="0" t="n">
        <v>2023</v>
      </c>
      <c r="D249" s="0" t="n">
        <v>-201</v>
      </c>
      <c r="E249" s="0" t="s">
        <v>386</v>
      </c>
      <c r="F249" s="25" t="b">
        <f aca="false">FALSE()</f>
        <v>0</v>
      </c>
      <c r="G249" s="25" t="b">
        <f aca="false">FALSE()</f>
        <v>0</v>
      </c>
      <c r="H249" s="0" t="s">
        <v>394</v>
      </c>
    </row>
    <row r="250" customFormat="false" ht="15" hidden="false" customHeight="false" outlineLevel="0" collapsed="false">
      <c r="A250" s="0" t="s">
        <v>75</v>
      </c>
      <c r="B250" s="0" t="s">
        <v>395</v>
      </c>
      <c r="C250" s="0" t="n">
        <v>2016</v>
      </c>
      <c r="D250" s="0" t="n">
        <v>201</v>
      </c>
      <c r="E250" s="0" t="s">
        <v>396</v>
      </c>
      <c r="F250" s="25" t="b">
        <f aca="false">FALSE()</f>
        <v>0</v>
      </c>
      <c r="G250" s="25" t="b">
        <f aca="false">FALSE()</f>
        <v>0</v>
      </c>
      <c r="H250" s="0" t="s">
        <v>397</v>
      </c>
    </row>
    <row r="251" customFormat="false" ht="15" hidden="false" customHeight="false" outlineLevel="0" collapsed="false">
      <c r="A251" s="0" t="s">
        <v>75</v>
      </c>
      <c r="B251" s="0" t="s">
        <v>395</v>
      </c>
      <c r="C251" s="0" t="n">
        <v>2017</v>
      </c>
      <c r="D251" s="0" t="n">
        <v>202.5</v>
      </c>
      <c r="E251" s="0" t="s">
        <v>396</v>
      </c>
      <c r="F251" s="25" t="b">
        <f aca="false">FALSE()</f>
        <v>0</v>
      </c>
      <c r="G251" s="25" t="b">
        <f aca="false">FALSE()</f>
        <v>0</v>
      </c>
      <c r="H251" s="0" t="s">
        <v>398</v>
      </c>
    </row>
    <row r="252" customFormat="false" ht="15" hidden="false" customHeight="false" outlineLevel="0" collapsed="false">
      <c r="A252" s="0" t="s">
        <v>75</v>
      </c>
      <c r="B252" s="0" t="s">
        <v>395</v>
      </c>
      <c r="C252" s="0" t="n">
        <v>2018</v>
      </c>
      <c r="D252" s="0" t="n">
        <v>200</v>
      </c>
      <c r="E252" s="0" t="s">
        <v>396</v>
      </c>
      <c r="F252" s="25" t="b">
        <f aca="false">FALSE()</f>
        <v>0</v>
      </c>
      <c r="G252" s="25" t="b">
        <f aca="false">FALSE()</f>
        <v>0</v>
      </c>
      <c r="H252" s="0" t="s">
        <v>399</v>
      </c>
    </row>
    <row r="253" customFormat="false" ht="15" hidden="false" customHeight="false" outlineLevel="0" collapsed="false">
      <c r="A253" s="0" t="s">
        <v>75</v>
      </c>
      <c r="B253" s="0" t="s">
        <v>395</v>
      </c>
      <c r="C253" s="0" t="n">
        <v>2019</v>
      </c>
      <c r="D253" s="0" t="n">
        <v>195.7</v>
      </c>
      <c r="E253" s="0" t="s">
        <v>396</v>
      </c>
      <c r="F253" s="25" t="b">
        <f aca="false">FALSE()</f>
        <v>0</v>
      </c>
      <c r="G253" s="25" t="b">
        <f aca="false">FALSE()</f>
        <v>0</v>
      </c>
      <c r="H253" s="0" t="s">
        <v>400</v>
      </c>
    </row>
    <row r="254" customFormat="false" ht="15" hidden="false" customHeight="false" outlineLevel="0" collapsed="false">
      <c r="A254" s="0" t="s">
        <v>75</v>
      </c>
      <c r="B254" s="0" t="s">
        <v>395</v>
      </c>
      <c r="C254" s="0" t="n">
        <v>2020</v>
      </c>
      <c r="D254" s="0" t="n">
        <v>194.3</v>
      </c>
      <c r="E254" s="0" t="s">
        <v>396</v>
      </c>
      <c r="F254" s="25" t="b">
        <f aca="false">FALSE()</f>
        <v>0</v>
      </c>
      <c r="G254" s="25" t="b">
        <f aca="false">FALSE()</f>
        <v>0</v>
      </c>
      <c r="H254" s="0" t="s">
        <v>401</v>
      </c>
    </row>
    <row r="255" customFormat="false" ht="15" hidden="false" customHeight="false" outlineLevel="0" collapsed="false">
      <c r="A255" s="0" t="s">
        <v>75</v>
      </c>
      <c r="B255" s="0" t="s">
        <v>395</v>
      </c>
      <c r="C255" s="0" t="n">
        <v>2021</v>
      </c>
      <c r="D255" s="0" t="n">
        <v>195.8</v>
      </c>
      <c r="E255" s="0" t="s">
        <v>396</v>
      </c>
      <c r="F255" s="25" t="b">
        <f aca="false">FALSE()</f>
        <v>0</v>
      </c>
      <c r="G255" s="25" t="b">
        <f aca="false">FALSE()</f>
        <v>0</v>
      </c>
      <c r="H255" s="0" t="s">
        <v>402</v>
      </c>
    </row>
    <row r="256" customFormat="false" ht="15" hidden="false" customHeight="false" outlineLevel="0" collapsed="false">
      <c r="A256" s="0" t="s">
        <v>75</v>
      </c>
      <c r="B256" s="0" t="s">
        <v>395</v>
      </c>
      <c r="C256" s="0" t="n">
        <v>2022</v>
      </c>
      <c r="D256" s="0" t="n">
        <v>183.5</v>
      </c>
      <c r="E256" s="0" t="s">
        <v>396</v>
      </c>
      <c r="F256" s="25" t="b">
        <f aca="false">FALSE()</f>
        <v>0</v>
      </c>
      <c r="G256" s="25" t="b">
        <f aca="false">FALSE()</f>
        <v>0</v>
      </c>
      <c r="H256" s="0" t="s">
        <v>403</v>
      </c>
    </row>
    <row r="257" customFormat="false" ht="15" hidden="false" customHeight="false" outlineLevel="0" collapsed="false">
      <c r="A257" s="0" t="s">
        <v>75</v>
      </c>
      <c r="B257" s="0" t="s">
        <v>395</v>
      </c>
      <c r="C257" s="0" t="n">
        <v>2023</v>
      </c>
      <c r="D257" s="0" t="n">
        <v>178.6</v>
      </c>
      <c r="E257" s="0" t="s">
        <v>396</v>
      </c>
      <c r="F257" s="25" t="b">
        <f aca="false">FALSE()</f>
        <v>0</v>
      </c>
      <c r="G257" s="25" t="b">
        <f aca="false">FALSE()</f>
        <v>0</v>
      </c>
      <c r="H257" s="0" t="s">
        <v>404</v>
      </c>
    </row>
    <row r="258" customFormat="false" ht="15" hidden="false" customHeight="false" outlineLevel="0" collapsed="false">
      <c r="A258" s="0" t="s">
        <v>77</v>
      </c>
      <c r="B258" s="0" t="s">
        <v>405</v>
      </c>
      <c r="C258" s="0" t="n">
        <v>2016</v>
      </c>
      <c r="D258" s="0" t="n">
        <v>201.8</v>
      </c>
      <c r="E258" s="0" t="s">
        <v>396</v>
      </c>
      <c r="F258" s="25" t="b">
        <f aca="false">FALSE()</f>
        <v>0</v>
      </c>
      <c r="G258" s="25" t="b">
        <f aca="false">FALSE()</f>
        <v>0</v>
      </c>
      <c r="H258" s="0" t="s">
        <v>406</v>
      </c>
    </row>
    <row r="259" customFormat="false" ht="15" hidden="false" customHeight="false" outlineLevel="0" collapsed="false">
      <c r="A259" s="0" t="s">
        <v>77</v>
      </c>
      <c r="B259" s="0" t="s">
        <v>405</v>
      </c>
      <c r="C259" s="0" t="n">
        <v>2017</v>
      </c>
      <c r="D259" s="0" t="n">
        <v>203.3</v>
      </c>
      <c r="E259" s="0" t="s">
        <v>396</v>
      </c>
      <c r="F259" s="25" t="b">
        <f aca="false">FALSE()</f>
        <v>0</v>
      </c>
      <c r="G259" s="25" t="b">
        <f aca="false">FALSE()</f>
        <v>0</v>
      </c>
      <c r="H259" s="0" t="s">
        <v>407</v>
      </c>
    </row>
    <row r="260" customFormat="false" ht="15" hidden="false" customHeight="false" outlineLevel="0" collapsed="false">
      <c r="A260" s="0" t="s">
        <v>77</v>
      </c>
      <c r="B260" s="0" t="s">
        <v>405</v>
      </c>
      <c r="C260" s="0" t="n">
        <v>2018</v>
      </c>
      <c r="D260" s="0" t="n">
        <v>200.8</v>
      </c>
      <c r="E260" s="0" t="s">
        <v>396</v>
      </c>
      <c r="F260" s="25" t="b">
        <f aca="false">FALSE()</f>
        <v>0</v>
      </c>
      <c r="G260" s="25" t="b">
        <f aca="false">FALSE()</f>
        <v>0</v>
      </c>
      <c r="H260" s="0" t="s">
        <v>408</v>
      </c>
    </row>
    <row r="261" customFormat="false" ht="15" hidden="false" customHeight="false" outlineLevel="0" collapsed="false">
      <c r="A261" s="0" t="s">
        <v>77</v>
      </c>
      <c r="B261" s="0" t="s">
        <v>405</v>
      </c>
      <c r="C261" s="0" t="n">
        <v>2019</v>
      </c>
      <c r="D261" s="0" t="n">
        <v>196.5</v>
      </c>
      <c r="E261" s="0" t="s">
        <v>396</v>
      </c>
      <c r="F261" s="25" t="b">
        <f aca="false">FALSE()</f>
        <v>0</v>
      </c>
      <c r="G261" s="25" t="b">
        <f aca="false">FALSE()</f>
        <v>0</v>
      </c>
      <c r="H261" s="0" t="s">
        <v>409</v>
      </c>
    </row>
    <row r="262" customFormat="false" ht="15" hidden="false" customHeight="false" outlineLevel="0" collapsed="false">
      <c r="A262" s="0" t="s">
        <v>77</v>
      </c>
      <c r="B262" s="0" t="s">
        <v>405</v>
      </c>
      <c r="C262" s="0" t="n">
        <v>2020</v>
      </c>
      <c r="D262" s="0" t="n">
        <v>195.1</v>
      </c>
      <c r="E262" s="0" t="s">
        <v>396</v>
      </c>
      <c r="F262" s="25" t="b">
        <f aca="false">FALSE()</f>
        <v>0</v>
      </c>
      <c r="G262" s="25" t="b">
        <f aca="false">FALSE()</f>
        <v>0</v>
      </c>
      <c r="H262" s="0" t="s">
        <v>410</v>
      </c>
    </row>
    <row r="263" customFormat="false" ht="15" hidden="false" customHeight="false" outlineLevel="0" collapsed="false">
      <c r="A263" s="0" t="s">
        <v>77</v>
      </c>
      <c r="B263" s="0" t="s">
        <v>405</v>
      </c>
      <c r="C263" s="0" t="n">
        <v>2021</v>
      </c>
      <c r="D263" s="0" t="n">
        <v>196.6</v>
      </c>
      <c r="E263" s="0" t="s">
        <v>396</v>
      </c>
      <c r="F263" s="25" t="b">
        <f aca="false">FALSE()</f>
        <v>0</v>
      </c>
      <c r="G263" s="25" t="b">
        <f aca="false">FALSE()</f>
        <v>0</v>
      </c>
      <c r="H263" s="0" t="s">
        <v>411</v>
      </c>
    </row>
    <row r="264" customFormat="false" ht="15" hidden="false" customHeight="false" outlineLevel="0" collapsed="false">
      <c r="A264" s="0" t="s">
        <v>77</v>
      </c>
      <c r="B264" s="0" t="s">
        <v>405</v>
      </c>
      <c r="C264" s="0" t="n">
        <v>2022</v>
      </c>
      <c r="D264" s="0" t="n">
        <v>184.2</v>
      </c>
      <c r="E264" s="0" t="s">
        <v>396</v>
      </c>
      <c r="F264" s="25" t="b">
        <f aca="false">FALSE()</f>
        <v>0</v>
      </c>
      <c r="G264" s="25" t="b">
        <f aca="false">FALSE()</f>
        <v>0</v>
      </c>
      <c r="H264" s="0" t="s">
        <v>412</v>
      </c>
    </row>
    <row r="265" customFormat="false" ht="15" hidden="false" customHeight="false" outlineLevel="0" collapsed="false">
      <c r="A265" s="0" t="s">
        <v>77</v>
      </c>
      <c r="B265" s="0" t="s">
        <v>405</v>
      </c>
      <c r="C265" s="0" t="n">
        <v>2023</v>
      </c>
      <c r="D265" s="0" t="n">
        <v>179.3</v>
      </c>
      <c r="E265" s="0" t="s">
        <v>396</v>
      </c>
      <c r="F265" s="25" t="b">
        <f aca="false">FALSE()</f>
        <v>0</v>
      </c>
      <c r="G265" s="25" t="b">
        <f aca="false">FALSE()</f>
        <v>0</v>
      </c>
      <c r="H265" s="0" t="s">
        <v>413</v>
      </c>
    </row>
    <row r="266" customFormat="false" ht="15" hidden="false" customHeight="false" outlineLevel="0" collapsed="false">
      <c r="B266" s="0" t="s">
        <v>414</v>
      </c>
      <c r="C266" s="0" t="n">
        <v>2016</v>
      </c>
      <c r="F266" s="25" t="b">
        <f aca="false">FALSE()</f>
        <v>0</v>
      </c>
      <c r="G266" s="25" t="b">
        <f aca="false">FALSE()</f>
        <v>0</v>
      </c>
      <c r="H266" s="0" t="s">
        <v>415</v>
      </c>
    </row>
    <row r="267" customFormat="false" ht="15" hidden="false" customHeight="false" outlineLevel="0" collapsed="false">
      <c r="B267" s="0" t="s">
        <v>414</v>
      </c>
      <c r="C267" s="0" t="n">
        <v>2017</v>
      </c>
      <c r="F267" s="25" t="b">
        <f aca="false">FALSE()</f>
        <v>0</v>
      </c>
      <c r="G267" s="25" t="b">
        <f aca="false">FALSE()</f>
        <v>0</v>
      </c>
      <c r="H267" s="0" t="s">
        <v>416</v>
      </c>
    </row>
    <row r="268" customFormat="false" ht="15" hidden="false" customHeight="false" outlineLevel="0" collapsed="false">
      <c r="B268" s="0" t="s">
        <v>414</v>
      </c>
      <c r="C268" s="0" t="n">
        <v>2018</v>
      </c>
      <c r="F268" s="25" t="b">
        <f aca="false">FALSE()</f>
        <v>0</v>
      </c>
      <c r="G268" s="25" t="b">
        <f aca="false">FALSE()</f>
        <v>0</v>
      </c>
      <c r="H268" s="0" t="s">
        <v>417</v>
      </c>
    </row>
    <row r="269" customFormat="false" ht="15" hidden="false" customHeight="false" outlineLevel="0" collapsed="false">
      <c r="B269" s="0" t="s">
        <v>414</v>
      </c>
      <c r="C269" s="0" t="n">
        <v>2019</v>
      </c>
      <c r="F269" s="25" t="b">
        <f aca="false">FALSE()</f>
        <v>0</v>
      </c>
      <c r="G269" s="25" t="b">
        <f aca="false">FALSE()</f>
        <v>0</v>
      </c>
      <c r="H269" s="0" t="s">
        <v>418</v>
      </c>
    </row>
    <row r="270" customFormat="false" ht="15" hidden="false" customHeight="false" outlineLevel="0" collapsed="false">
      <c r="B270" s="0" t="s">
        <v>414</v>
      </c>
      <c r="C270" s="0" t="n">
        <v>2020</v>
      </c>
      <c r="F270" s="25" t="b">
        <f aca="false">FALSE()</f>
        <v>0</v>
      </c>
      <c r="G270" s="25" t="b">
        <f aca="false">FALSE()</f>
        <v>0</v>
      </c>
      <c r="H270" s="0" t="s">
        <v>419</v>
      </c>
    </row>
    <row r="271" customFormat="false" ht="15" hidden="false" customHeight="false" outlineLevel="0" collapsed="false">
      <c r="B271" s="0" t="s">
        <v>414</v>
      </c>
      <c r="C271" s="0" t="n">
        <v>2021</v>
      </c>
      <c r="F271" s="25" t="b">
        <f aca="false">FALSE()</f>
        <v>0</v>
      </c>
      <c r="G271" s="25" t="b">
        <f aca="false">FALSE()</f>
        <v>0</v>
      </c>
      <c r="H271" s="0" t="s">
        <v>420</v>
      </c>
    </row>
    <row r="272" customFormat="false" ht="15" hidden="false" customHeight="false" outlineLevel="0" collapsed="false">
      <c r="B272" s="0" t="s">
        <v>414</v>
      </c>
      <c r="C272" s="0" t="n">
        <v>2022</v>
      </c>
      <c r="F272" s="25" t="b">
        <f aca="false">FALSE()</f>
        <v>0</v>
      </c>
      <c r="G272" s="25" t="b">
        <f aca="false">FALSE()</f>
        <v>0</v>
      </c>
      <c r="H272" s="0" t="s">
        <v>421</v>
      </c>
    </row>
    <row r="273" customFormat="false" ht="15" hidden="false" customHeight="false" outlineLevel="0" collapsed="false">
      <c r="B273" s="0" t="s">
        <v>414</v>
      </c>
      <c r="C273" s="0" t="n">
        <v>2023</v>
      </c>
      <c r="F273" s="25" t="b">
        <f aca="false">FALSE()</f>
        <v>0</v>
      </c>
      <c r="G273" s="25" t="b">
        <f aca="false">FALSE()</f>
        <v>0</v>
      </c>
      <c r="H273" s="0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" t="s">
        <v>423</v>
      </c>
    </row>
    <row r="2" customFormat="false" ht="15" hidden="false" customHeight="false" outlineLevel="0" collapsed="false">
      <c r="A2" s="10"/>
      <c r="B2" s="10"/>
      <c r="C2" s="10"/>
      <c r="D2" s="10"/>
    </row>
    <row r="3" customFormat="false" ht="15" hidden="false" customHeight="false" outlineLevel="0" collapsed="false">
      <c r="A3" s="0" t="s">
        <v>424</v>
      </c>
      <c r="B3" s="0" t="s">
        <v>425</v>
      </c>
      <c r="C3" s="0" t="s">
        <v>426</v>
      </c>
      <c r="D3" s="0" t="s">
        <v>427</v>
      </c>
    </row>
    <row r="4" customFormat="false" ht="15" hidden="false" customHeight="false" outlineLevel="0" collapsed="false">
      <c r="A4" s="0" t="s">
        <v>15</v>
      </c>
      <c r="B4" s="0" t="s">
        <v>14</v>
      </c>
      <c r="C4" s="0" t="s">
        <v>337</v>
      </c>
      <c r="D4" s="0" t="s">
        <v>428</v>
      </c>
    </row>
    <row r="5" customFormat="false" ht="15" hidden="false" customHeight="false" outlineLevel="0" collapsed="false">
      <c r="A5" s="0" t="s">
        <v>17</v>
      </c>
      <c r="B5" s="0" t="s">
        <v>16</v>
      </c>
      <c r="C5" s="0" t="s">
        <v>337</v>
      </c>
      <c r="D5" s="0" t="s">
        <v>428</v>
      </c>
    </row>
    <row r="6" customFormat="false" ht="15" hidden="false" customHeight="false" outlineLevel="0" collapsed="false">
      <c r="A6" s="0" t="s">
        <v>19</v>
      </c>
      <c r="B6" s="0" t="s">
        <v>18</v>
      </c>
      <c r="C6" s="0" t="s">
        <v>337</v>
      </c>
      <c r="D6" s="0" t="s">
        <v>428</v>
      </c>
    </row>
    <row r="7" customFormat="false" ht="15" hidden="false" customHeight="false" outlineLevel="0" collapsed="false">
      <c r="A7" s="0" t="s">
        <v>21</v>
      </c>
      <c r="B7" s="0" t="s">
        <v>20</v>
      </c>
      <c r="C7" s="0" t="s">
        <v>337</v>
      </c>
      <c r="D7" s="0" t="s">
        <v>428</v>
      </c>
    </row>
    <row r="8" customFormat="false" ht="15" hidden="false" customHeight="false" outlineLevel="0" collapsed="false">
      <c r="A8" s="0" t="s">
        <v>25</v>
      </c>
      <c r="B8" s="0" t="s">
        <v>24</v>
      </c>
      <c r="C8" s="0" t="s">
        <v>137</v>
      </c>
      <c r="D8" s="0" t="s">
        <v>429</v>
      </c>
    </row>
    <row r="9" customFormat="false" ht="15" hidden="false" customHeight="false" outlineLevel="0" collapsed="false">
      <c r="A9" s="0" t="s">
        <v>27</v>
      </c>
      <c r="B9" s="0" t="s">
        <v>26</v>
      </c>
      <c r="C9" s="0" t="s">
        <v>164</v>
      </c>
      <c r="D9" s="0" t="s">
        <v>428</v>
      </c>
    </row>
    <row r="10" customFormat="false" ht="15" hidden="false" customHeight="false" outlineLevel="0" collapsed="false">
      <c r="A10" s="0" t="s">
        <v>31</v>
      </c>
      <c r="B10" s="0" t="s">
        <v>30</v>
      </c>
      <c r="C10" s="0" t="s">
        <v>311</v>
      </c>
      <c r="D10" s="0" t="s">
        <v>428</v>
      </c>
    </row>
    <row r="11" customFormat="false" ht="15" hidden="false" customHeight="false" outlineLevel="0" collapsed="false">
      <c r="A11" s="0" t="s">
        <v>33</v>
      </c>
      <c r="B11" s="0" t="s">
        <v>32</v>
      </c>
      <c r="C11" s="0" t="s">
        <v>311</v>
      </c>
      <c r="D11" s="0" t="s">
        <v>428</v>
      </c>
    </row>
    <row r="12" customFormat="false" ht="15" hidden="false" customHeight="false" outlineLevel="0" collapsed="false">
      <c r="A12" s="0" t="s">
        <v>35</v>
      </c>
      <c r="B12" s="0" t="s">
        <v>34</v>
      </c>
      <c r="C12" s="0" t="s">
        <v>146</v>
      </c>
      <c r="D12" s="0" t="s">
        <v>429</v>
      </c>
    </row>
    <row r="13" customFormat="false" ht="15" hidden="false" customHeight="false" outlineLevel="0" collapsed="false">
      <c r="A13" s="0" t="s">
        <v>37</v>
      </c>
      <c r="B13" s="0" t="s">
        <v>36</v>
      </c>
      <c r="C13" s="0" t="s">
        <v>146</v>
      </c>
      <c r="D13" s="0" t="s">
        <v>429</v>
      </c>
    </row>
    <row r="14" customFormat="false" ht="15" hidden="false" customHeight="false" outlineLevel="0" collapsed="false">
      <c r="A14" s="0" t="s">
        <v>39</v>
      </c>
      <c r="B14" s="0" t="s">
        <v>38</v>
      </c>
      <c r="C14" s="0" t="s">
        <v>146</v>
      </c>
      <c r="D14" s="0" t="s">
        <v>429</v>
      </c>
    </row>
    <row r="15" customFormat="false" ht="15" hidden="false" customHeight="false" outlineLevel="0" collapsed="false">
      <c r="A15" s="0" t="s">
        <v>41</v>
      </c>
      <c r="B15" s="0" t="s">
        <v>40</v>
      </c>
      <c r="C15" s="0" t="s">
        <v>146</v>
      </c>
      <c r="D15" s="0" t="s">
        <v>429</v>
      </c>
    </row>
    <row r="16" customFormat="false" ht="15" hidden="false" customHeight="false" outlineLevel="0" collapsed="false">
      <c r="A16" s="0" t="s">
        <v>43</v>
      </c>
      <c r="B16" s="0" t="s">
        <v>42</v>
      </c>
      <c r="C16" s="0" t="s">
        <v>164</v>
      </c>
      <c r="D16" s="0" t="s">
        <v>429</v>
      </c>
    </row>
    <row r="17" customFormat="false" ht="15" hidden="false" customHeight="false" outlineLevel="0" collapsed="false">
      <c r="A17" s="0" t="s">
        <v>45</v>
      </c>
      <c r="B17" s="0" t="s">
        <v>44</v>
      </c>
      <c r="C17" s="0" t="s">
        <v>146</v>
      </c>
      <c r="D17" s="0" t="s">
        <v>429</v>
      </c>
    </row>
    <row r="18" customFormat="false" ht="15" hidden="false" customHeight="false" outlineLevel="0" collapsed="false">
      <c r="A18" s="0" t="s">
        <v>47</v>
      </c>
      <c r="B18" s="0" t="s">
        <v>46</v>
      </c>
      <c r="C18" s="0" t="s">
        <v>164</v>
      </c>
      <c r="D18" s="0" t="s">
        <v>428</v>
      </c>
    </row>
    <row r="19" customFormat="false" ht="15" hidden="false" customHeight="false" outlineLevel="0" collapsed="false">
      <c r="A19" s="0" t="s">
        <v>51</v>
      </c>
      <c r="B19" s="0" t="s">
        <v>50</v>
      </c>
      <c r="C19" s="0" t="s">
        <v>206</v>
      </c>
      <c r="D19" s="0" t="s">
        <v>428</v>
      </c>
    </row>
    <row r="20" customFormat="false" ht="15" hidden="false" customHeight="false" outlineLevel="0" collapsed="false">
      <c r="A20" s="0" t="s">
        <v>53</v>
      </c>
      <c r="B20" s="0" t="s">
        <v>52</v>
      </c>
      <c r="C20" s="0" t="s">
        <v>206</v>
      </c>
      <c r="D20" s="0" t="s">
        <v>429</v>
      </c>
    </row>
    <row r="21" customFormat="false" ht="15" hidden="false" customHeight="false" outlineLevel="0" collapsed="false">
      <c r="A21" s="0" t="s">
        <v>55</v>
      </c>
      <c r="B21" s="0" t="s">
        <v>54</v>
      </c>
      <c r="C21" s="0" t="s">
        <v>164</v>
      </c>
      <c r="D21" s="0" t="s">
        <v>428</v>
      </c>
    </row>
    <row r="22" customFormat="false" ht="15" hidden="false" customHeight="false" outlineLevel="0" collapsed="false">
      <c r="A22" s="0" t="s">
        <v>57</v>
      </c>
      <c r="B22" s="0" t="s">
        <v>56</v>
      </c>
      <c r="C22" s="0" t="s">
        <v>386</v>
      </c>
      <c r="D22" s="0" t="s">
        <v>429</v>
      </c>
    </row>
    <row r="23" customFormat="false" ht="15" hidden="false" customHeight="false" outlineLevel="0" collapsed="false">
      <c r="A23" s="0" t="s">
        <v>61</v>
      </c>
      <c r="B23" s="0" t="s">
        <v>60</v>
      </c>
      <c r="C23" s="0" t="s">
        <v>164</v>
      </c>
      <c r="D23" s="0" t="s">
        <v>428</v>
      </c>
    </row>
    <row r="24" customFormat="false" ht="15" hidden="false" customHeight="false" outlineLevel="0" collapsed="false">
      <c r="A24" s="0" t="s">
        <v>63</v>
      </c>
      <c r="B24" s="0" t="s">
        <v>62</v>
      </c>
      <c r="C24" s="0" t="s">
        <v>164</v>
      </c>
      <c r="D24" s="0" t="s">
        <v>428</v>
      </c>
    </row>
    <row r="25" customFormat="false" ht="15" hidden="false" customHeight="false" outlineLevel="0" collapsed="false">
      <c r="A25" s="0" t="s">
        <v>65</v>
      </c>
      <c r="B25" s="0" t="s">
        <v>64</v>
      </c>
      <c r="C25" s="0" t="s">
        <v>164</v>
      </c>
      <c r="D25" s="0" t="s">
        <v>428</v>
      </c>
    </row>
    <row r="26" customFormat="false" ht="15" hidden="false" customHeight="false" outlineLevel="0" collapsed="false">
      <c r="A26" s="0" t="s">
        <v>67</v>
      </c>
      <c r="B26" s="0" t="s">
        <v>66</v>
      </c>
      <c r="C26" s="0" t="s">
        <v>164</v>
      </c>
      <c r="D26" s="0" t="s">
        <v>429</v>
      </c>
    </row>
    <row r="27" customFormat="false" ht="15" hidden="false" customHeight="false" outlineLevel="0" collapsed="false">
      <c r="A27" s="0" t="s">
        <v>69</v>
      </c>
      <c r="B27" s="0" t="s">
        <v>68</v>
      </c>
      <c r="C27" s="0" t="s">
        <v>164</v>
      </c>
      <c r="D27" s="0" t="s">
        <v>428</v>
      </c>
    </row>
    <row r="28" customFormat="false" ht="15" hidden="false" customHeight="false" outlineLevel="0" collapsed="false">
      <c r="A28" s="0" t="s">
        <v>71</v>
      </c>
      <c r="B28" s="0" t="s">
        <v>70</v>
      </c>
      <c r="C28" s="0" t="s">
        <v>155</v>
      </c>
      <c r="D28" s="0" t="s">
        <v>428</v>
      </c>
    </row>
    <row r="29" customFormat="false" ht="15" hidden="false" customHeight="false" outlineLevel="0" collapsed="false">
      <c r="A29" s="0" t="s">
        <v>73</v>
      </c>
      <c r="B29" s="0" t="s">
        <v>72</v>
      </c>
      <c r="C29" s="0" t="s">
        <v>155</v>
      </c>
      <c r="D29" s="0" t="s">
        <v>428</v>
      </c>
    </row>
    <row r="30" customFormat="false" ht="15" hidden="false" customHeight="false" outlineLevel="0" collapsed="false">
      <c r="A30" s="0" t="s">
        <v>79</v>
      </c>
      <c r="B30" s="0" t="s">
        <v>78</v>
      </c>
      <c r="C30" s="0" t="s">
        <v>155</v>
      </c>
      <c r="D30" s="0" t="s">
        <v>428</v>
      </c>
    </row>
    <row r="31" customFormat="false" ht="15" hidden="false" customHeight="false" outlineLevel="0" collapsed="false">
      <c r="A31" s="3" t="s">
        <v>430</v>
      </c>
    </row>
    <row r="32" customFormat="false" ht="15" hidden="false" customHeight="false" outlineLevel="0" collapsed="false">
      <c r="A32" s="0" t="s">
        <v>431</v>
      </c>
      <c r="B32" s="0" t="s">
        <v>432</v>
      </c>
      <c r="C32" s="0" t="s">
        <v>433</v>
      </c>
    </row>
    <row r="33" customFormat="false" ht="15" hidden="false" customHeight="false" outlineLevel="0" collapsed="false">
      <c r="A33" s="0" t="s">
        <v>108</v>
      </c>
      <c r="B33" s="0" t="s">
        <v>116</v>
      </c>
      <c r="C33" s="0" t="s">
        <v>434</v>
      </c>
    </row>
    <row r="34" customFormat="false" ht="15" hidden="false" customHeight="false" outlineLevel="0" collapsed="false">
      <c r="A34" s="0" t="s">
        <v>111</v>
      </c>
      <c r="B34" s="0" t="s">
        <v>116</v>
      </c>
      <c r="C34" s="0" t="s">
        <v>434</v>
      </c>
    </row>
    <row r="35" customFormat="false" ht="15" hidden="false" customHeight="false" outlineLevel="0" collapsed="false">
      <c r="A35" s="0" t="s">
        <v>114</v>
      </c>
      <c r="B35" s="0" t="s">
        <v>116</v>
      </c>
      <c r="C35" s="0" t="s">
        <v>434</v>
      </c>
    </row>
    <row r="36" customFormat="false" ht="15" hidden="false" customHeight="false" outlineLevel="0" collapsed="false">
      <c r="A36" s="0" t="s">
        <v>124</v>
      </c>
      <c r="B36" s="0" t="s">
        <v>124</v>
      </c>
      <c r="C36" s="0" t="s">
        <v>435</v>
      </c>
    </row>
    <row r="37" customFormat="false" ht="15" hidden="false" customHeight="false" outlineLevel="0" collapsed="false">
      <c r="A37" s="0" t="s">
        <v>125</v>
      </c>
      <c r="B37" s="0" t="s">
        <v>125</v>
      </c>
      <c r="C37" s="0" t="s">
        <v>435</v>
      </c>
    </row>
    <row r="38" customFormat="false" ht="15" hidden="false" customHeight="false" outlineLevel="0" collapsed="false">
      <c r="A38" s="0" t="s">
        <v>113</v>
      </c>
      <c r="B38" s="0" t="s">
        <v>119</v>
      </c>
      <c r="C38" s="0" t="s">
        <v>434</v>
      </c>
    </row>
    <row r="39" customFormat="false" ht="15" hidden="false" customHeight="false" outlineLevel="0" collapsed="false">
      <c r="A39" s="0" t="s">
        <v>126</v>
      </c>
      <c r="B39" s="0" t="s">
        <v>126</v>
      </c>
      <c r="C39" s="0" t="s">
        <v>435</v>
      </c>
    </row>
    <row r="40" customFormat="false" ht="15" hidden="false" customHeight="false" outlineLevel="0" collapsed="false">
      <c r="A40" s="0" t="s">
        <v>18</v>
      </c>
      <c r="B40" s="0" t="s">
        <v>18</v>
      </c>
      <c r="C40" s="0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2026-09-03T09:33:55Z</dcterms:created>
  <dc:creator>openpyxl</dc:creator>
  <dc:description/>
  <dc:language>en-US</dc:language>
  <cp:lastModifiedBy/>
  <dcterms:modified xsi:type="dcterms:W3CDTF">2026-09-03T09:35:42Z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